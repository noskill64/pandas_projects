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0910" codeName="{F2B83AC3-3A92-4FF1-8D57-CA5CB3A19BB1}"/>
  <workbookPr codeName="ThisWorkbook" autoCompressPictures="0"/>
  <bookViews>
    <workbookView xWindow="240" yWindow="220" windowWidth="25360" windowHeight="14380" activeTab="1"/>
  </bookViews>
  <sheets>
    <sheet name="Requirements" sheetId="1" r:id="rId1"/>
    <sheet name="TestCases" sheetId="2" r:id="rId2"/>
  </sheets>
  <definedNames>
    <definedName name="_xlnm._FilterDatabase" localSheetId="0" hidden="1">Requirements!#REF!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B4" i="1" l="1"/>
  <c r="C4" i="1"/>
  <c r="D4" i="1"/>
  <c r="B7" i="1"/>
  <c r="C7" i="1"/>
  <c r="D7" i="1"/>
  <c r="B8" i="1"/>
  <c r="C8" i="1"/>
  <c r="D8" i="1"/>
  <c r="B9" i="1"/>
  <c r="C9" i="1"/>
  <c r="D9" i="1"/>
  <c r="B10" i="1"/>
  <c r="C10" i="1"/>
  <c r="D10" i="1"/>
  <c r="C3" i="1"/>
  <c r="D3" i="1"/>
  <c r="B3" i="1"/>
  <c r="F5" i="1"/>
  <c r="G5" i="1"/>
  <c r="F6" i="1"/>
  <c r="H6" i="1"/>
  <c r="F7" i="1"/>
  <c r="G7" i="1"/>
  <c r="F10" i="1"/>
  <c r="G10" i="1"/>
  <c r="F4" i="1"/>
  <c r="H4" i="1"/>
  <c r="H5" i="1"/>
  <c r="G6" i="1"/>
  <c r="G4" i="1"/>
  <c r="H10" i="1"/>
  <c r="H7" i="1"/>
</calcChain>
</file>

<file path=xl/sharedStrings.xml><?xml version="1.0" encoding="utf-8"?>
<sst xmlns="http://schemas.openxmlformats.org/spreadsheetml/2006/main" count="788" uniqueCount="359">
  <si>
    <t>DOCID</t>
  </si>
  <si>
    <t>TITLE</t>
  </si>
  <si>
    <t>DESCRIPTION</t>
  </si>
  <si>
    <t>CUST2</t>
  </si>
  <si>
    <t>Folder 2 Req 1</t>
  </si>
  <si>
    <t>Folder 2 Req 2</t>
  </si>
  <si>
    <t>Folder 2 Req 3</t>
  </si>
  <si>
    <t>Folder 3 Req 1</t>
  </si>
  <si>
    <t>Folder 6 Req 1</t>
  </si>
  <si>
    <t>Test Cases</t>
  </si>
  <si>
    <t>Requirements</t>
  </si>
  <si>
    <t>Name</t>
  </si>
  <si>
    <t>Summary</t>
  </si>
  <si>
    <t>Preconditions</t>
  </si>
  <si>
    <t>Steps</t>
  </si>
  <si>
    <t>Expected Results</t>
  </si>
  <si>
    <t>Importance</t>
  </si>
  <si>
    <t>Test Execution Type</t>
  </si>
  <si>
    <t>Step Execution Type</t>
  </si>
  <si>
    <t>STATUS</t>
  </si>
  <si>
    <t>TYPE</t>
  </si>
  <si>
    <t>EXPECTED COVERAGE</t>
  </si>
  <si>
    <t>D</t>
  </si>
  <si>
    <t>R</t>
  </si>
  <si>
    <t>W</t>
  </si>
  <si>
    <t>F</t>
  </si>
  <si>
    <t>V</t>
  </si>
  <si>
    <t>Test Suite</t>
  </si>
  <si>
    <t>Details</t>
  </si>
  <si>
    <t>Title</t>
  </si>
  <si>
    <t>Scope</t>
  </si>
  <si>
    <t>CUST1</t>
  </si>
  <si>
    <t>Folder 1</t>
  </si>
  <si>
    <t>Folder 2</t>
  </si>
  <si>
    <t>Folder 3</t>
  </si>
  <si>
    <t>Folder 4</t>
  </si>
  <si>
    <t>Folder 5</t>
  </si>
  <si>
    <t>Folder 6</t>
  </si>
  <si>
    <t>Requirements Specification</t>
  </si>
  <si>
    <t>RSDID</t>
  </si>
  <si>
    <t>New label</t>
  </si>
  <si>
    <t>New menu</t>
  </si>
  <si>
    <t>Create a new label by pressing the 'New' button and shortcut keys, currently active printer and consumable are correct.</t>
  </si>
  <si>
    <t xml:space="preserve"> Click on the 'New' button in the File bar</t>
  </si>
  <si>
    <t xml:space="preserve"> New label content area displays</t>
  </si>
  <si>
    <t xml:space="preserve"> Check active printer and consumable</t>
  </si>
  <si>
    <t xml:space="preserve"> The active printer is the one connected or you last used. Active consumable is the one you last used.</t>
  </si>
  <si>
    <t xml:space="preserve"> Use shortcut keys: CTRL + N to create a new label</t>
  </si>
  <si>
    <t xml:space="preserve">  Expected results for creating a new label via shortcut is the same as above.</t>
  </si>
  <si>
    <t>New label-D1 tape printer</t>
  </si>
  <si>
    <t>Printer selection</t>
  </si>
  <si>
    <t>Printer selection for linear layout label</t>
  </si>
  <si>
    <t xml:space="preserve"> Click on the Printer dropdown list in New label content area</t>
  </si>
  <si>
    <t xml:space="preserve"> Pinter dropdown list shows all installed and dummy printers</t>
  </si>
  <si>
    <t>CS-3</t>
  </si>
  <si>
    <t xml:space="preserve"> Select a D1 tape printer in the printer dropdown list which is not the currently active printer</t>
  </si>
  <si>
    <t xml:space="preserve"> The newly selected printer becomes the active printer with status including: connection, charging, error</t>
  </si>
  <si>
    <t xml:space="preserve"> Check consumable list</t>
  </si>
  <si>
    <t xml:space="preserve"> Consumable list shows consumables supported currently active printer.</t>
  </si>
  <si>
    <t>Consumable selection in All labels</t>
  </si>
  <si>
    <t>Consumable selection via selecting from "All labels"</t>
  </si>
  <si>
    <t>Precondition: No consumable in the active printer</t>
  </si>
  <si>
    <t xml:space="preserve"> New label content area displays.</t>
  </si>
  <si>
    <t>PR-9</t>
  </si>
  <si>
    <t xml:space="preserve"> Select a D1 tape printer in the printer dropdown list</t>
  </si>
  <si>
    <t xml:space="preserve"> The newly selected printer becomes the active printer</t>
  </si>
  <si>
    <t xml:space="preserve"> Click on the Label Type dropdown list</t>
  </si>
  <si>
    <t xml:space="preserve"> Label Type list shows all consumables that are compatible with the currently selected printer.</t>
  </si>
  <si>
    <t xml:space="preserve"> Select a consumable in "All labels" list which is not the currently active consumable</t>
  </si>
  <si>
    <t xml:space="preserve"> The newly selected consumable becomes the active consumable</t>
  </si>
  <si>
    <t xml:space="preserve"> Select default label application and template</t>
  </si>
  <si>
    <t xml:space="preserve"> Click "Open" and check Label application, template, active printer and consumable</t>
  </si>
  <si>
    <t xml:space="preserve"> A simple horizontal label template is created, active printer and consumable are the same as you selected.</t>
  </si>
  <si>
    <t>Consumable selection in Recent labels</t>
  </si>
  <si>
    <t>Consumable selection via selecting from "Recent labels"</t>
  </si>
  <si>
    <t>PR-15</t>
  </si>
  <si>
    <t xml:space="preserve"> Recent labels list shows the last 3 recently used consumables in chronological order</t>
  </si>
  <si>
    <t xml:space="preserve"> Select a consumable in "Recent labels" list which is not the currently active consumable</t>
  </si>
  <si>
    <t>Consumable selection in search result</t>
  </si>
  <si>
    <t>Consumable selection via searching labels</t>
  </si>
  <si>
    <t>Precondition: No label in the active printer</t>
  </si>
  <si>
    <t xml:space="preserve"> Label Type list shows all labels that are compatible with the currently selected printer.</t>
  </si>
  <si>
    <t xml:space="preserve"> Type SKU numbers in search field</t>
  </si>
  <si>
    <t xml:space="preserve"> Correct search result shows below search field</t>
  </si>
  <si>
    <t xml:space="preserve"> Select one of these consumables from search result</t>
  </si>
  <si>
    <t xml:space="preserve"> Repeat steps 1-6 using different search keywords: name, SKU, size, material, color</t>
  </si>
  <si>
    <t xml:space="preserve"> Same result as step 6.</t>
  </si>
  <si>
    <t>Consumable selection Consumable Details Selection Page</t>
  </si>
  <si>
    <t>Consumable selection via Consumable Details Selection Page</t>
  </si>
  <si>
    <t xml:space="preserve"> Click on the Label Type dropdown list, check the consumables have multiple colors and materials</t>
  </si>
  <si>
    <t xml:space="preserve"> There is a right arrow indicates the consumable have multiple colors and materials.</t>
  </si>
  <si>
    <t xml:space="preserve"> Click on the right arrow</t>
  </si>
  <si>
    <t xml:space="preserve"> Consumables Selection Detail page is opened.</t>
  </si>
  <si>
    <t xml:space="preserve"> Select different color, check the currently selected consumable and material</t>
  </si>
  <si>
    <t xml:space="preserve"> The label image will change to the selected color. The SKU # will also change based on selections.</t>
  </si>
  <si>
    <t>A dynamic list of possible materials for supporting the size and color.</t>
  </si>
  <si>
    <t>Label Applications list(Categories of labels. There are 7 label categories)</t>
  </si>
  <si>
    <t xml:space="preserve"> Simple Horizontal label template selected when New</t>
  </si>
  <si>
    <t>PR-6</t>
  </si>
  <si>
    <t>label content area is opened.</t>
  </si>
  <si>
    <t>Simple</t>
  </si>
  <si>
    <t>File folder</t>
  </si>
  <si>
    <t>Storage/Shelving</t>
  </si>
  <si>
    <t>Address</t>
  </si>
  <si>
    <t>Shipping(Gray out when D1 tape printer is selected)</t>
  </si>
  <si>
    <t>Name badge(Gray out when D1 tape printer is selected)</t>
  </si>
  <si>
    <t>Price tag</t>
  </si>
  <si>
    <t>Barcode</t>
  </si>
  <si>
    <t>Media(Gray out when D1 tape printer is selected)</t>
  </si>
  <si>
    <t>Blank</t>
  </si>
  <si>
    <t xml:space="preserve"> Select D1 tape printer and default consumable</t>
  </si>
  <si>
    <t xml:space="preserve"> Check the label application list</t>
  </si>
  <si>
    <t xml:space="preserve"> Categories of label applications in the order listed to the left.</t>
  </si>
  <si>
    <t>Remark: Label application: Category of label</t>
  </si>
  <si>
    <t>Label application selection</t>
  </si>
  <si>
    <t>All supported Label Applications can be selected</t>
  </si>
  <si>
    <t xml:space="preserve"> Select every available label application</t>
  </si>
  <si>
    <t xml:space="preserve"> All the available label applications can be selected and all the available templates display for each label application.(More detail information for template list for each label application, template matrix or refer to spec?)</t>
  </si>
  <si>
    <t>Template preview</t>
  </si>
  <si>
    <t>All the templates can be previewed</t>
  </si>
  <si>
    <t xml:space="preserve"> Go through the label application list</t>
  </si>
  <si>
    <t xml:space="preserve"> All the available templates display for each label application.</t>
  </si>
  <si>
    <t xml:space="preserve"> Click Preview button on the top right of each template</t>
  </si>
  <si>
    <t xml:space="preserve"> Actual label contents display at either 100% or auto-sized to fit the available display space.</t>
  </si>
  <si>
    <t xml:space="preserve"> Click Close button</t>
  </si>
  <si>
    <t xml:space="preserve"> The preview screen is closed.</t>
  </si>
  <si>
    <t>Templates loading and selection</t>
  </si>
  <si>
    <t>All supported templates load correctly and can be selected(default consumable)</t>
  </si>
  <si>
    <t>PR-7</t>
  </si>
  <si>
    <t xml:space="preserve"> Check templates are correct and can be selected for creating new label one by one</t>
  </si>
  <si>
    <t xml:space="preserve"> All the available templates display correct for each label application.(More detail information for template list for each label application, template matrix or refer to spec?) Each template can be selected in a new label.</t>
  </si>
  <si>
    <t>Templates loading and selection-different color consumables</t>
  </si>
  <si>
    <t>All supported templates load correctly and can be selected(try different color consumables)</t>
  </si>
  <si>
    <t xml:space="preserve"> Select D1 tape printer and different color consumable</t>
  </si>
  <si>
    <t xml:space="preserve"> All the available templates display correct for each label application.(More detail information for template list for each label application, template matrix or refer to spec?) Each template can be selected for a new label.</t>
  </si>
  <si>
    <t>Templates loading and selection-different material consumables</t>
  </si>
  <si>
    <t>All supported templates load correctly and can be selected(try different material consumables)</t>
  </si>
  <si>
    <t xml:space="preserve"> Select D1 tape printer and different material consumable</t>
  </si>
  <si>
    <t xml:space="preserve"> All the available templates display correct for each label application.(More detail information for template list for each label application, template matrix or refer to spec?)  Each template can be selected for a new label.</t>
  </si>
  <si>
    <t>New label-LW printer</t>
  </si>
  <si>
    <t>Printer selection for dynamic layout label</t>
  </si>
  <si>
    <t xml:space="preserve"> Select a LW printer in the printer dropdown list which is not the currently active printer</t>
  </si>
  <si>
    <t xml:space="preserve"> The newly selected printer becomes the active printer with status including: connection, error</t>
  </si>
  <si>
    <t>Consumable selection</t>
  </si>
  <si>
    <t xml:space="preserve"> Select a LW printer in the printer dropdown list</t>
  </si>
  <si>
    <t xml:space="preserve"> Repeat steps 1-6 using different search keywords: name, SKU, dimension, material, color, type</t>
  </si>
  <si>
    <t>Label Applications list</t>
  </si>
  <si>
    <t>Label Applications list(Categories of labels. There are 10 label categories)</t>
  </si>
  <si>
    <t>Shipping</t>
  </si>
  <si>
    <t>Name badge</t>
  </si>
  <si>
    <t>Media</t>
  </si>
  <si>
    <t xml:space="preserve"> Select LW printer and default consumable</t>
  </si>
  <si>
    <t xml:space="preserve"> Select a LW printer and default consumable</t>
  </si>
  <si>
    <t>All supported templates load correctly and can be selected(different type)</t>
  </si>
  <si>
    <t xml:space="preserve"> Select LW printer and different type label</t>
  </si>
  <si>
    <t>All supported templates load correctly and can be selected(different material)</t>
  </si>
  <si>
    <t xml:space="preserve"> Select LW printer and different material label</t>
  </si>
  <si>
    <t>Cancel</t>
  </si>
  <si>
    <t>Cancel the creation of a new label</t>
  </si>
  <si>
    <t xml:space="preserve"> Press the 'Cancel' button in the New label screen</t>
  </si>
  <si>
    <t xml:space="preserve"> New label is cancelled, New label screen is closed.</t>
  </si>
  <si>
    <t>Open label</t>
  </si>
  <si>
    <t>Open Menu</t>
  </si>
  <si>
    <t>Open Label by pressing the 'Open' button and shortcut key</t>
  </si>
  <si>
    <t xml:space="preserve"> Click on the 'Open' button in the File bar</t>
  </si>
  <si>
    <t xml:space="preserve"> The Open Label screen appears</t>
  </si>
  <si>
    <t>SAVE-2, RC-3</t>
  </si>
  <si>
    <t xml:space="preserve"> Click 'Cancel' button</t>
  </si>
  <si>
    <t xml:space="preserve"> The Open Label screen is closed</t>
  </si>
  <si>
    <t xml:space="preserve"> Use shortcut keys: CTRL + O to open a label</t>
  </si>
  <si>
    <t>Change the active printer</t>
  </si>
  <si>
    <t xml:space="preserve"> Navigate to the 'Printer' dropdown list in the 'Open' menu</t>
  </si>
  <si>
    <t xml:space="preserve"> Check the currently active printer</t>
  </si>
  <si>
    <t xml:space="preserve"> Currently active printer is the printer you last used</t>
  </si>
  <si>
    <t xml:space="preserve"> Click on the Printer dropdown list</t>
  </si>
  <si>
    <t xml:space="preserve"> The list shows all installed printers and dummy printers</t>
  </si>
  <si>
    <t xml:space="preserve"> Select a printer in the dropdown list which is not the currently active printer</t>
  </si>
  <si>
    <t xml:space="preserve"> The active printer becomes the newly selected printer</t>
  </si>
  <si>
    <t>Label Type</t>
  </si>
  <si>
    <t>Label only, not actionable</t>
  </si>
  <si>
    <t xml:space="preserve"> Verify the 'Label Type' displays beside printer selection area</t>
  </si>
  <si>
    <t xml:space="preserve"> Label type is grayed out, can't be changed.</t>
  </si>
  <si>
    <t>Open label methods</t>
  </si>
  <si>
    <t xml:space="preserve"> Open the 'Open' menu</t>
  </si>
  <si>
    <t xml:space="preserve"> Observe the open label ways list</t>
  </si>
  <si>
    <t xml:space="preserve"> The list include: Recent(default); Favorites; Browse…</t>
  </si>
  <si>
    <t>No recent files</t>
  </si>
  <si>
    <t>No recent files' display if there is no files saved and opened</t>
  </si>
  <si>
    <t>Precondition: DCD launches at first time or no labels are saved before and no existing labels are opened by DCD</t>
  </si>
  <si>
    <t xml:space="preserve"> Observe the recent files list</t>
  </si>
  <si>
    <t xml:space="preserve"> No recent files display</t>
  </si>
  <si>
    <t>Recent labels list</t>
  </si>
  <si>
    <t>Precondition: Some labels are saved before or some existing labels are opened by DCD</t>
  </si>
  <si>
    <t>SAVE-8</t>
  </si>
  <si>
    <t xml:space="preserve"> Observe the order and amount of labels present</t>
  </si>
  <si>
    <t xml:space="preserve"> The 20 most recently saved labels display in chronological order from most recent to least recent</t>
  </si>
  <si>
    <t>Change recent labels' order</t>
  </si>
  <si>
    <t>Precondition: More than 20 labels are saved or opened before by DCD</t>
  </si>
  <si>
    <t xml:space="preserve"> Try to create a new label and save it as 'First Label'</t>
  </si>
  <si>
    <t xml:space="preserve"> Label is saved with the name 'First Label' updated at the top of screen</t>
  </si>
  <si>
    <t xml:space="preserve"> Switch to Open label screen</t>
  </si>
  <si>
    <t xml:space="preserve"> Observe the order and amount of labels present in Recent</t>
  </si>
  <si>
    <t xml:space="preserve"> 'First Label' is the first label in the list</t>
  </si>
  <si>
    <t xml:space="preserve"> Try to open different labels from 'Recent', 'Favorite', 'Browse...' and via double clicking label files</t>
  </si>
  <si>
    <t xml:space="preserve"> Recent labels display from most recent to least recent.</t>
  </si>
  <si>
    <t>Preview recent label</t>
  </si>
  <si>
    <t xml:space="preserve"> Open the 'Recent' label list</t>
  </si>
  <si>
    <t xml:space="preserve"> The 20 most recently saved labels display in chronological order from most recent to least recent.</t>
  </si>
  <si>
    <t xml:space="preserve"> Click 'Preview' button on the right top corner of one label</t>
  </si>
  <si>
    <t xml:space="preserve"> Click 'Close' button</t>
  </si>
  <si>
    <t>Open a label from Recent</t>
  </si>
  <si>
    <t>Open a label in the recently used labels list</t>
  </si>
  <si>
    <t xml:space="preserve"> Select one of the labels in the list</t>
  </si>
  <si>
    <t xml:space="preserve"> Selected label is highlight.</t>
  </si>
  <si>
    <t xml:space="preserve"> Press the 'Open' button or double click the label</t>
  </si>
  <si>
    <t xml:space="preserve"> Selected label is opened with the settings saved.</t>
  </si>
  <si>
    <t>Label selected does not match printer selected</t>
  </si>
  <si>
    <t>Open label errors: Label selected does not match printer selected</t>
  </si>
  <si>
    <t>Precondition: There are some saved labels created with D1 tape printer and LW printer</t>
  </si>
  <si>
    <t xml:space="preserve"> The Open Label screen appears.</t>
  </si>
  <si>
    <t xml:space="preserve"> Select a D1 tape printer</t>
  </si>
  <si>
    <t xml:space="preserve"> Currently active printer becomes selected D1 tape printer.</t>
  </si>
  <si>
    <t xml:space="preserve"> Select a label created with LW printer from recent files</t>
  </si>
  <si>
    <t xml:space="preserve"> The printer mismatch dialog pops up: The selected label file is not compatible with the currently selected printer. Select a compatible printer.</t>
  </si>
  <si>
    <t xml:space="preserve"> Select one compatible printer from printer list</t>
  </si>
  <si>
    <t xml:space="preserve"> Currently active printer becomes selected printer.</t>
  </si>
  <si>
    <t xml:space="preserve"> Click 'Continue' button</t>
  </si>
  <si>
    <t xml:space="preserve"> The label is opened correctly.</t>
  </si>
  <si>
    <t xml:space="preserve"> Repeat step 1-5, but select a LW printer at step 2 and open a label created with D1 tape printer.</t>
  </si>
  <si>
    <t xml:space="preserve"> Same result as step 3, 4, 5.</t>
  </si>
  <si>
    <t xml:space="preserve"> Label selected does not match the consumable in D1 tape printer</t>
  </si>
  <si>
    <t>Open label errors: Label selected does not match the consumable in printer</t>
  </si>
  <si>
    <t>Precondition: There are some different size D1 label: 6/12/19/24mm present in recent labels list</t>
  </si>
  <si>
    <t xml:space="preserve"> Insert 12mm tape</t>
  </si>
  <si>
    <t xml:space="preserve"> Select a label created with 24mm tape from recent labels</t>
  </si>
  <si>
    <t xml:space="preserve"> The consumable mismatch dialog pops up: The selected label size does not match the label size currently in the printer. Use inserted size or current size</t>
  </si>
  <si>
    <t xml:space="preserve"> Select 'Inserted size' and click on 'Open' button</t>
  </si>
  <si>
    <t xml:space="preserve"> Label is opened with 12mm tape, label content adjust accordingly.</t>
  </si>
  <si>
    <t xml:space="preserve"> Repeat step 1-4, but select 'Current size'</t>
  </si>
  <si>
    <t xml:space="preserve"> Label is opened with 24mm tape correctly, no fit errors.</t>
  </si>
  <si>
    <t xml:space="preserve"> Repeat Step 1-6 with 6/12/19mm label</t>
  </si>
  <si>
    <t xml:space="preserve"> Same as above result.</t>
  </si>
  <si>
    <t xml:space="preserve"> Label selected does not match the consumable in LW printer</t>
  </si>
  <si>
    <t>Precondition: There are some different size labels present in recent labels list</t>
  </si>
  <si>
    <t xml:space="preserve"> Select a LW printer</t>
  </si>
  <si>
    <t xml:space="preserve"> Insert 99012</t>
  </si>
  <si>
    <t xml:space="preserve"> Select a LW label created with 99013 from recent files</t>
  </si>
  <si>
    <t xml:space="preserve"> Label is opened with 99012 consumable, label content adjust accordingly.</t>
  </si>
  <si>
    <t xml:space="preserve"> Label is opened with 99013 correctly.</t>
  </si>
  <si>
    <t xml:space="preserve"> Repeat step 1-6, try different size LW consumables</t>
  </si>
  <si>
    <t>Cannot open file</t>
  </si>
  <si>
    <t>Open label errors: Cannot open file</t>
  </si>
  <si>
    <t>Precondition: Label file is damaged</t>
  </si>
  <si>
    <t xml:space="preserve"> Select a LW label is damaged from recent files</t>
  </si>
  <si>
    <t xml:space="preserve"> The Cannot Open File dialog pops up: The selected label file cannot be opened. Select another label file.</t>
  </si>
  <si>
    <t xml:space="preserve"> Click 'Ok' button</t>
  </si>
  <si>
    <t xml:space="preserve"> The Cannot Open File dialog is closed, back to Open file screen</t>
  </si>
  <si>
    <t xml:space="preserve"> Select the other label from recent files</t>
  </si>
  <si>
    <t xml:space="preserve">  Repeat step 1-4, but select a D1 label at step 2.</t>
  </si>
  <si>
    <t xml:space="preserve"> Same result.</t>
  </si>
  <si>
    <t>Cancel open label from Recent</t>
  </si>
  <si>
    <t>Cancel open label</t>
  </si>
  <si>
    <t>Precondition: Some labels are saved before or some Existing labels are opened by DCD</t>
  </si>
  <si>
    <t xml:space="preserve"> Select one of the label from Recent</t>
  </si>
  <si>
    <t xml:space="preserve"> Click 'Cancel' button at right bottom</t>
  </si>
  <si>
    <t xml:space="preserve"> The Open Label screen is closed.  No label is opened.</t>
  </si>
  <si>
    <t>No favorite labels</t>
  </si>
  <si>
    <t>No favorite labels' display if there is no favorite labels saved and opened</t>
  </si>
  <si>
    <t>Precondition: DCD launches at first time or no saved labels marked as Favorite</t>
  </si>
  <si>
    <t xml:space="preserve"> Click 'Favorites' option and observe the favorite labels list</t>
  </si>
  <si>
    <t xml:space="preserve"> No favorite label displays</t>
  </si>
  <si>
    <t>Favorite labels list</t>
  </si>
  <si>
    <t>Check Favorite labels list</t>
  </si>
  <si>
    <t>Precondition: Some saved labels are marked as Favorite</t>
  </si>
  <si>
    <t>SAVE-9</t>
  </si>
  <si>
    <t xml:space="preserve"> The favorite labels display with yellow favorite icon.</t>
  </si>
  <si>
    <t>Preview the favorite label</t>
  </si>
  <si>
    <t xml:space="preserve"> Open the 'Favorite' label list</t>
  </si>
  <si>
    <t xml:space="preserve"> The favorite labels display with yellow favorite icon</t>
  </si>
  <si>
    <t xml:space="preserve"> Click preview icon at top right of one label</t>
  </si>
  <si>
    <t>Open a label from favorite labels list</t>
  </si>
  <si>
    <t xml:space="preserve"> Select one of the D1 labels in the list</t>
  </si>
  <si>
    <t xml:space="preserve"> Press the 'Open' button or double click the selected label</t>
  </si>
  <si>
    <t xml:space="preserve"> The label is opened without any changes of content and settings.</t>
  </si>
  <si>
    <t xml:space="preserve"> Repeat steps with LW label</t>
  </si>
  <si>
    <t>Favorite label in recent labels list</t>
  </si>
  <si>
    <t>Favorite label in recent files list</t>
  </si>
  <si>
    <t>Precondition: There are some labels in recent labels list</t>
  </si>
  <si>
    <t xml:space="preserve"> Click star icon of one of D1 labels in recent labels list</t>
  </si>
  <si>
    <t xml:space="preserve"> The star icon becomes yellow, label is marked as favorite label.</t>
  </si>
  <si>
    <t xml:space="preserve"> Select ‘Favorites' to check the newly favorite label</t>
  </si>
  <si>
    <t xml:space="preserve"> The newly favorite label appears in the list.</t>
  </si>
  <si>
    <t xml:space="preserve"> Restart DCD to check the label in 'Recent' and 'Favorites'</t>
  </si>
  <si>
    <t xml:space="preserve"> The label is still favorite label presented in Recent and Favorites with yellow star icon.</t>
  </si>
  <si>
    <t xml:space="preserve"> Try favorite multiple labels from recent labels list</t>
  </si>
  <si>
    <t xml:space="preserve"> Same result as step 2, 3, 4.</t>
  </si>
  <si>
    <t>Unfavorite label in recent files list</t>
  </si>
  <si>
    <t xml:space="preserve"> Click the yellow star icon of one of D1 labels in recent labels list</t>
  </si>
  <si>
    <t xml:space="preserve"> The star icon becomes gray, label is not a favorite label anymore.</t>
  </si>
  <si>
    <t xml:space="preserve"> Select ‘Favorites' to check the unfavorite label</t>
  </si>
  <si>
    <t xml:space="preserve"> The unfavorite label is removed from the list.</t>
  </si>
  <si>
    <t xml:space="preserve"> The label presents in Recent with gray star icon and is removed from Favorites.</t>
  </si>
  <si>
    <t xml:space="preserve"> Try unfavorite multiple labels from favorite labels list</t>
  </si>
  <si>
    <t>Unfavorite label in favorite files list</t>
  </si>
  <si>
    <t>Precondition: There are some labels in favorite labels list</t>
  </si>
  <si>
    <t xml:space="preserve"> Click the yellow star icon of one of D1 labels in favorite labels list</t>
  </si>
  <si>
    <t xml:space="preserve"> Switch to recent labels list</t>
  </si>
  <si>
    <t xml:space="preserve"> The star icon of the label is gray.</t>
  </si>
  <si>
    <t xml:space="preserve"> Click 'Favorites' option and check the labels</t>
  </si>
  <si>
    <t xml:space="preserve"> Same result as step 2, 3, 4, 5.</t>
  </si>
  <si>
    <t>Favorite label in favorite files list</t>
  </si>
  <si>
    <t xml:space="preserve"> Click star icon again</t>
  </si>
  <si>
    <t xml:space="preserve"> The star icon of the label becomes yellow, label is marked as favorite label.</t>
  </si>
  <si>
    <t xml:space="preserve"> Switch to recent labels list to check the label</t>
  </si>
  <si>
    <t xml:space="preserve"> The label is still with yellow start icon </t>
  </si>
  <si>
    <t xml:space="preserve"> The favorite label presents in Recent and Favorites with yellow star icon.</t>
  </si>
  <si>
    <t xml:space="preserve"> Try favorite multiple labels from favorite labels list</t>
  </si>
  <si>
    <t xml:space="preserve"> Select a label created with LW printer from favorite labels</t>
  </si>
  <si>
    <t>Precondition: Precondition: There are some different size D1 label: 6/12/19/24mm present in favorite labels list</t>
  </si>
  <si>
    <t xml:space="preserve"> Select a label created with 24mm tape from favorite labels</t>
  </si>
  <si>
    <t xml:space="preserve"> Label is opened with 24mm tape correctly.</t>
  </si>
  <si>
    <t>Precondition: There are some different size labels present favorite labels list</t>
  </si>
  <si>
    <t xml:space="preserve"> Select a LW label created with 99013 from favorite labels</t>
  </si>
  <si>
    <t>Cannot open file from Favorite</t>
  </si>
  <si>
    <t xml:space="preserve"> Select a LW label is damaged from favorite labels</t>
  </si>
  <si>
    <t xml:space="preserve"> Select the other label from favorite labels</t>
  </si>
  <si>
    <t>Cancel open label from Favorite</t>
  </si>
  <si>
    <t xml:space="preserve"> Select one of the label from Favorites</t>
  </si>
  <si>
    <t>Open label via Browsing</t>
  </si>
  <si>
    <t>Open label via browsing</t>
  </si>
  <si>
    <t>Precondition: There are some labels saved on your device</t>
  </si>
  <si>
    <t>SAVE-2</t>
  </si>
  <si>
    <t xml:space="preserve"> Click on the 'Browse' option</t>
  </si>
  <si>
    <t xml:space="preserve"> OS-specific file browser is opened.</t>
  </si>
  <si>
    <t xml:space="preserve"> Browse to a saved D1 label file with extenstion name???</t>
  </si>
  <si>
    <t xml:space="preserve"> Select the label file and click on the 'Open' button or double click the label file</t>
  </si>
  <si>
    <t xml:space="preserve"> Repeat steps to open a LW label</t>
  </si>
  <si>
    <t>Open DLS label via Browsing</t>
  </si>
  <si>
    <t>Open DLS label files with all possible objects</t>
  </si>
  <si>
    <t>Precondition: There are D1 and LW labels created with DLS saved in local disk</t>
  </si>
  <si>
    <t xml:space="preserve"> Browse to a D1 label created with DLS which has all possible objects placed on it(extension name is:???)</t>
  </si>
  <si>
    <t xml:space="preserve"> Click the 'Open' button or double click the label file</t>
  </si>
  <si>
    <t>Cancel open label from Browse…</t>
  </si>
  <si>
    <t xml:space="preserve"> OS-specific file browser is opened</t>
  </si>
  <si>
    <t xml:space="preserve"> Browse to a saved label file and select it</t>
  </si>
  <si>
    <t xml:space="preserve"> Open a label created with LW printer via Browse</t>
  </si>
  <si>
    <t>Precondition: Precondition: There are some saved different size D1 label: 6/12/19/24mm</t>
  </si>
  <si>
    <t xml:space="preserve"> Browse a label created with 24mm tape and open it</t>
  </si>
  <si>
    <t>Precondition: There are some saved different size labels</t>
  </si>
  <si>
    <t xml:space="preserve"> Browse a label created with 99013 and open it.</t>
  </si>
  <si>
    <t xml:space="preserve"> Open a LW label is damaged via Browse</t>
  </si>
  <si>
    <t xml:space="preserve"> Open the other label via Browse</t>
  </si>
  <si>
    <t>Open other format file</t>
  </si>
  <si>
    <t>Open label errors: Open other format file: txt, excel, word, ppt, csv.</t>
  </si>
  <si>
    <t>Precondition: There are some different format files(txt, excel, word, ppt, csv)</t>
  </si>
  <si>
    <t xml:space="preserve"> Browse a txt file and try to open it. </t>
  </si>
  <si>
    <t xml:space="preserve"> Error pops up or can't browse file is not labels created by DLS and DCD.</t>
  </si>
  <si>
    <t xml:space="preserve"> Repeat step 1-3, try different format files</t>
  </si>
  <si>
    <t>Printer Selection</t>
  </si>
</sst>
</file>

<file path=xl/styles.xml><?xml version="1.0" encoding="utf-8"?>
<styleSheet xmlns="http://schemas.openxmlformats.org/spreadsheetml/2006/main" xmlns:mc="http://schemas.openxmlformats.org/markup-compatibility/2006" xmlns:x14ac="http://schemas.microsoft.com/office/spreadsheetml/2009/9/ac" mc:Ignorable="x14ac">
  <fonts count="8" x14ac:knownFonts="1">
    <font>
      <sz val="10"/>
      <color rgb="FF000000"/>
      <name val="Arial"/>
    </font>
    <font>
      <sz val="10"/>
      <name val="Arial"/>
      <family val="2"/>
    </font>
    <font>
      <sz val="10"/>
      <color rgb="FF000000"/>
      <name val="Arial"/>
      <family val="2"/>
    </font>
    <font>
      <b/>
      <sz val="10"/>
      <color rgb="FF000000"/>
      <name val="Arial"/>
      <family val="2"/>
    </font>
    <font>
      <b/>
      <sz val="10"/>
      <color theme="0"/>
      <name val="Arial"/>
      <family val="2"/>
    </font>
    <font>
      <u/>
      <sz val="10"/>
      <color theme="10"/>
      <name val="Arial"/>
    </font>
    <font>
      <u/>
      <sz val="10"/>
      <color theme="11"/>
      <name val="Arial"/>
    </font>
    <font>
      <b/>
      <sz val="10"/>
      <color rgb="FFFFFFFF"/>
      <name val="Arial"/>
      <family val="2"/>
    </font>
  </fonts>
  <fills count="7">
    <fill>
      <patternFill patternType="none"/>
    </fill>
    <fill>
      <patternFill patternType="gray125"/>
    </fill>
    <fill>
      <patternFill patternType="solid">
        <fgColor theme="1"/>
        <bgColor indexed="64"/>
      </patternFill>
    </fill>
    <fill>
      <patternFill patternType="solid">
        <fgColor theme="1" tint="0.499984740745262"/>
        <bgColor indexed="64"/>
      </patternFill>
    </fill>
    <fill>
      <patternFill patternType="solid">
        <fgColor rgb="FF000000"/>
        <bgColor rgb="FF000000"/>
      </patternFill>
    </fill>
    <fill>
      <patternFill patternType="solid">
        <fgColor rgb="FF808080"/>
        <bgColor rgb="FF000000"/>
      </patternFill>
    </fill>
    <fill>
      <patternFill patternType="solid">
        <fgColor theme="0"/>
        <bgColor indexed="64"/>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ck">
        <color theme="0"/>
      </left>
      <right/>
      <top/>
      <bottom/>
      <diagonal/>
    </border>
    <border>
      <left style="thick">
        <color rgb="FFFFFFFF"/>
      </left>
      <right/>
      <top style="thick">
        <color rgb="FFFFFFFF"/>
      </top>
      <bottom style="thick">
        <color rgb="FFFFFFFF"/>
      </bottom>
      <diagonal/>
    </border>
    <border>
      <left/>
      <right/>
      <top style="thick">
        <color rgb="FFFFFFFF"/>
      </top>
      <bottom style="thick">
        <color rgb="FFFFFFFF"/>
      </bottom>
      <diagonal/>
    </border>
    <border>
      <left/>
      <right style="thick">
        <color rgb="FFFFFFFF"/>
      </right>
      <top style="thick">
        <color rgb="FFFFFFFF"/>
      </top>
      <bottom style="thick">
        <color rgb="FFFFFFFF"/>
      </bottom>
      <diagonal/>
    </border>
    <border>
      <left/>
      <right style="thin">
        <color auto="1"/>
      </right>
      <top/>
      <bottom style="thin">
        <color auto="1"/>
      </bottom>
      <diagonal/>
    </border>
  </borders>
  <cellStyleXfs count="9">
    <xf numFmtId="0" fontId="0" fillId="0" borderId="0"/>
    <xf numFmtId="0" fontId="1" fillId="0" borderId="0"/>
    <xf numFmtId="0" fontId="1"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cellStyleXfs>
  <cellXfs count="18">
    <xf numFmtId="0" fontId="0" fillId="0" borderId="0" xfId="0" applyAlignment="1">
      <alignment wrapText="1"/>
    </xf>
    <xf numFmtId="0" fontId="2" fillId="0" borderId="0" xfId="0" applyFont="1" applyAlignment="1">
      <alignment wrapText="1"/>
    </xf>
    <xf numFmtId="1" fontId="2" fillId="0" borderId="0" xfId="0" applyNumberFormat="1" applyFont="1" applyAlignment="1">
      <alignment wrapText="1"/>
    </xf>
    <xf numFmtId="0" fontId="2" fillId="0" borderId="1" xfId="0" applyFont="1" applyBorder="1" applyAlignment="1">
      <alignment wrapText="1"/>
    </xf>
    <xf numFmtId="0" fontId="3" fillId="3" borderId="2" xfId="0" applyFont="1" applyFill="1" applyBorder="1" applyAlignment="1">
      <alignment horizontal="center" wrapText="1"/>
    </xf>
    <xf numFmtId="1" fontId="3" fillId="3" borderId="2" xfId="0" applyNumberFormat="1" applyFont="1" applyFill="1" applyBorder="1" applyAlignment="1">
      <alignment horizontal="center" wrapText="1"/>
    </xf>
    <xf numFmtId="0" fontId="2" fillId="0" borderId="2" xfId="0" applyFont="1" applyBorder="1" applyAlignment="1">
      <alignment wrapText="1"/>
    </xf>
    <xf numFmtId="0" fontId="0" fillId="0" borderId="0" xfId="0"/>
    <xf numFmtId="0" fontId="3" fillId="0" borderId="6" xfId="0" applyFont="1" applyBorder="1" applyAlignment="1">
      <alignment horizontal="center" wrapText="1"/>
    </xf>
    <xf numFmtId="0" fontId="3" fillId="5" borderId="2" xfId="0" applyFont="1" applyFill="1" applyBorder="1" applyAlignment="1">
      <alignment horizontal="center" wrapText="1"/>
    </xf>
    <xf numFmtId="0" fontId="3" fillId="5" borderId="7" xfId="0" applyFont="1" applyFill="1" applyBorder="1" applyAlignment="1">
      <alignment horizontal="center" wrapText="1"/>
    </xf>
    <xf numFmtId="0" fontId="4" fillId="2" borderId="3" xfId="0" applyFont="1" applyFill="1" applyBorder="1" applyAlignment="1">
      <alignment horizontal="center" wrapText="1"/>
    </xf>
    <xf numFmtId="0" fontId="4" fillId="2" borderId="0" xfId="0" applyFont="1" applyFill="1" applyBorder="1" applyAlignment="1">
      <alignment horizontal="center" wrapText="1"/>
    </xf>
    <xf numFmtId="0" fontId="0" fillId="0" borderId="0" xfId="0" applyAlignment="1">
      <alignment wrapText="1"/>
    </xf>
    <xf numFmtId="0" fontId="7" fillId="4" borderId="4" xfId="0" applyFont="1" applyFill="1" applyBorder="1" applyAlignment="1">
      <alignment horizontal="center" wrapText="1"/>
    </xf>
    <xf numFmtId="0" fontId="7" fillId="4" borderId="5" xfId="0" applyFont="1" applyFill="1" applyBorder="1" applyAlignment="1">
      <alignment horizontal="center" wrapText="1"/>
    </xf>
    <xf numFmtId="0" fontId="7" fillId="4" borderId="6" xfId="0" applyFont="1" applyFill="1" applyBorder="1" applyAlignment="1">
      <alignment horizontal="center" wrapText="1"/>
    </xf>
    <xf numFmtId="0" fontId="0" fillId="6" borderId="1" xfId="0" applyFill="1" applyBorder="1" applyAlignment="1">
      <alignment wrapText="1"/>
    </xf>
  </cellXfs>
  <cellStyles count="9">
    <cellStyle name="Followed Hyperlink" xfId="4" builtinId="9" hidden="1"/>
    <cellStyle name="Followed Hyperlink" xfId="6" builtinId="9" hidden="1"/>
    <cellStyle name="Followed Hyperlink" xfId="8" builtinId="9" hidden="1"/>
    <cellStyle name="Hyperlink" xfId="3" builtinId="8" hidden="1"/>
    <cellStyle name="Hyperlink" xfId="5" builtinId="8" hidden="1"/>
    <cellStyle name="Hyperlink" xfId="7" builtinId="8" hidden="1"/>
    <cellStyle name="Normal" xfId="0" builtinId="0"/>
    <cellStyle name="Normal 2" xfId="1"/>
    <cellStyle name="Normal 2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4" Type="http://schemas.openxmlformats.org/officeDocument/2006/relationships/styles" Target="styles.xml"/><Relationship Id="rId5" Type="http://schemas.openxmlformats.org/officeDocument/2006/relationships/sharedStrings" Target="sharedStrings.xml"/><Relationship Id="rId6" Type="http://schemas.openxmlformats.org/officeDocument/2006/relationships/calcChain" Target="calcChain.xml"/><Relationship Id="rId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K10"/>
  <sheetViews>
    <sheetView workbookViewId="0">
      <selection activeCell="J2" sqref="J2"/>
    </sheetView>
  </sheetViews>
  <sheetFormatPr baseColWidth="10" defaultColWidth="9.1640625" defaultRowHeight="15" customHeight="1" x14ac:dyDescent="0"/>
  <cols>
    <col min="1" max="1" width="9.1640625" style="1"/>
    <col min="2" max="2" width="11.6640625" style="1" bestFit="1" customWidth="1"/>
    <col min="3" max="3" width="17.83203125" style="1" bestFit="1" customWidth="1"/>
    <col min="4" max="4" width="14.33203125" style="1" bestFit="1" customWidth="1"/>
    <col min="5" max="5" width="13.33203125" style="1" bestFit="1" customWidth="1"/>
    <col min="6" max="6" width="17.5" style="1" bestFit="1" customWidth="1"/>
    <col min="7" max="7" width="36.5" style="1" bestFit="1" customWidth="1"/>
    <col min="8" max="8" width="22" style="2" bestFit="1" customWidth="1"/>
    <col min="9" max="10" width="9.1640625" style="1"/>
    <col min="11" max="11" width="45.5" style="1" bestFit="1" customWidth="1"/>
    <col min="12" max="16384" width="9.1640625" style="1"/>
  </cols>
  <sheetData>
    <row r="1" spans="1:11" ht="12">
      <c r="A1" s="11" t="s">
        <v>38</v>
      </c>
      <c r="B1" s="12"/>
      <c r="C1" s="12"/>
      <c r="D1" s="12"/>
      <c r="E1" s="11" t="s">
        <v>10</v>
      </c>
      <c r="F1" s="12"/>
      <c r="G1" s="12"/>
      <c r="H1" s="12"/>
      <c r="I1" s="13"/>
      <c r="J1" s="13"/>
      <c r="K1" s="13"/>
    </row>
    <row r="2" spans="1:11" ht="15" customHeight="1">
      <c r="A2" s="4" t="s">
        <v>39</v>
      </c>
      <c r="B2" s="4" t="s">
        <v>29</v>
      </c>
      <c r="C2" s="4" t="s">
        <v>30</v>
      </c>
      <c r="D2" s="4" t="s">
        <v>31</v>
      </c>
      <c r="E2" s="4" t="s">
        <v>0</v>
      </c>
      <c r="F2" s="4" t="s">
        <v>1</v>
      </c>
      <c r="G2" s="4" t="s">
        <v>2</v>
      </c>
      <c r="H2" s="5" t="s">
        <v>3</v>
      </c>
      <c r="I2" s="5" t="s">
        <v>19</v>
      </c>
      <c r="J2" s="5" t="s">
        <v>20</v>
      </c>
      <c r="K2" s="5" t="s">
        <v>21</v>
      </c>
    </row>
    <row r="3" spans="1:11" ht="15" customHeight="1">
      <c r="A3" s="6" t="s">
        <v>32</v>
      </c>
      <c r="B3" s="6" t="str">
        <f>CONCATENATE(B$2," ",$A3)</f>
        <v>Title Folder 1</v>
      </c>
      <c r="C3" s="6" t="str">
        <f t="shared" ref="C3:D10" si="0">CONCATENATE(C$2," ",$A3)</f>
        <v>Scope Folder 1</v>
      </c>
      <c r="D3" s="6" t="str">
        <f t="shared" si="0"/>
        <v>CUST1 Folder 1</v>
      </c>
      <c r="E3" s="6"/>
      <c r="F3" s="6"/>
      <c r="G3" s="6"/>
      <c r="H3" s="6"/>
      <c r="I3" s="6"/>
      <c r="J3" s="6"/>
      <c r="K3" s="6"/>
    </row>
    <row r="4" spans="1:11" ht="15" customHeight="1">
      <c r="A4" s="3" t="s">
        <v>33</v>
      </c>
      <c r="B4" s="6" t="str">
        <f t="shared" ref="B4:B10" si="1">CONCATENATE(B$2," ",$A4)</f>
        <v>Title Folder 2</v>
      </c>
      <c r="C4" s="6" t="str">
        <f t="shared" si="0"/>
        <v>Scope Folder 2</v>
      </c>
      <c r="D4" s="6" t="str">
        <f t="shared" si="0"/>
        <v>CUST1 Folder 2</v>
      </c>
      <c r="E4" s="3" t="s">
        <v>4</v>
      </c>
      <c r="F4" s="3" t="str">
        <f>CONCATENATE("Title ",E4)</f>
        <v>Title Folder 2 Req 1</v>
      </c>
      <c r="G4" s="3" t="str">
        <f>CONCATENATE("This is Description for ",F4)</f>
        <v>This is Description for Title Folder 2 Req 1</v>
      </c>
      <c r="H4" s="3" t="str">
        <f>CONCATENATE("Cust ",F4)</f>
        <v>Cust Title Folder 2 Req 1</v>
      </c>
      <c r="I4" s="3" t="s">
        <v>22</v>
      </c>
      <c r="J4" s="3">
        <v>1</v>
      </c>
      <c r="K4" s="3">
        <v>3</v>
      </c>
    </row>
    <row r="5" spans="1:11" ht="15" customHeight="1">
      <c r="A5" s="3"/>
      <c r="B5" s="6"/>
      <c r="C5" s="6"/>
      <c r="D5" s="6"/>
      <c r="E5" s="3" t="s">
        <v>5</v>
      </c>
      <c r="F5" s="3" t="str">
        <f t="shared" ref="F5:F10" si="2">CONCATENATE("Title ",E5)</f>
        <v>Title Folder 2 Req 2</v>
      </c>
      <c r="G5" s="3" t="str">
        <f t="shared" ref="G5:G10" si="3">CONCATENATE("This is Description for ",F5)</f>
        <v>This is Description for Title Folder 2 Req 2</v>
      </c>
      <c r="H5" s="3" t="str">
        <f t="shared" ref="H5:H6" si="4">CONCATENATE("Cust ",F5)</f>
        <v>Cust Title Folder 2 Req 2</v>
      </c>
      <c r="I5" s="3" t="s">
        <v>23</v>
      </c>
      <c r="J5" s="3">
        <v>2</v>
      </c>
      <c r="K5" s="3">
        <v>4</v>
      </c>
    </row>
    <row r="6" spans="1:11" ht="15" customHeight="1">
      <c r="A6" s="3"/>
      <c r="B6" s="6"/>
      <c r="C6" s="6"/>
      <c r="D6" s="6"/>
      <c r="E6" s="3" t="s">
        <v>6</v>
      </c>
      <c r="F6" s="3" t="str">
        <f t="shared" si="2"/>
        <v>Title Folder 2 Req 3</v>
      </c>
      <c r="G6" s="3" t="str">
        <f t="shared" si="3"/>
        <v>This is Description for Title Folder 2 Req 3</v>
      </c>
      <c r="H6" s="3" t="str">
        <f t="shared" si="4"/>
        <v>Cust Title Folder 2 Req 3</v>
      </c>
      <c r="I6" s="3" t="s">
        <v>24</v>
      </c>
      <c r="J6" s="3">
        <v>3</v>
      </c>
      <c r="K6" s="3">
        <v>2</v>
      </c>
    </row>
    <row r="7" spans="1:11" ht="15" customHeight="1">
      <c r="A7" s="3" t="s">
        <v>34</v>
      </c>
      <c r="B7" s="6" t="str">
        <f t="shared" si="1"/>
        <v>Title Folder 3</v>
      </c>
      <c r="C7" s="6" t="str">
        <f t="shared" si="0"/>
        <v>Scope Folder 3</v>
      </c>
      <c r="D7" s="6" t="str">
        <f t="shared" si="0"/>
        <v>CUST1 Folder 3</v>
      </c>
      <c r="E7" s="3" t="s">
        <v>7</v>
      </c>
      <c r="F7" s="3" t="str">
        <f t="shared" si="2"/>
        <v>Title Folder 3 Req 1</v>
      </c>
      <c r="G7" s="3" t="str">
        <f t="shared" si="3"/>
        <v>This is Description for Title Folder 3 Req 1</v>
      </c>
      <c r="H7" s="3" t="str">
        <f>CONCATENATE("Cust ",F7)</f>
        <v>Cust Title Folder 3 Req 1</v>
      </c>
      <c r="I7" s="3" t="s">
        <v>25</v>
      </c>
      <c r="J7" s="3">
        <v>4</v>
      </c>
      <c r="K7" s="3">
        <v>1</v>
      </c>
    </row>
    <row r="8" spans="1:11" ht="15" customHeight="1">
      <c r="A8" s="3" t="s">
        <v>35</v>
      </c>
      <c r="B8" s="6" t="str">
        <f t="shared" si="1"/>
        <v>Title Folder 4</v>
      </c>
      <c r="C8" s="6" t="str">
        <f t="shared" si="0"/>
        <v>Scope Folder 4</v>
      </c>
      <c r="D8" s="6" t="str">
        <f t="shared" si="0"/>
        <v>CUST1 Folder 4</v>
      </c>
      <c r="E8" s="3"/>
      <c r="F8" s="3"/>
      <c r="G8" s="3"/>
      <c r="H8" s="3"/>
      <c r="I8" s="3"/>
      <c r="J8" s="3"/>
      <c r="K8" s="3"/>
    </row>
    <row r="9" spans="1:11" ht="15" customHeight="1">
      <c r="A9" s="3" t="s">
        <v>36</v>
      </c>
      <c r="B9" s="6" t="str">
        <f t="shared" si="1"/>
        <v>Title Folder 5</v>
      </c>
      <c r="C9" s="6" t="str">
        <f t="shared" si="0"/>
        <v>Scope Folder 5</v>
      </c>
      <c r="D9" s="6" t="str">
        <f t="shared" si="0"/>
        <v>CUST1 Folder 5</v>
      </c>
      <c r="E9" s="3"/>
      <c r="F9" s="3"/>
      <c r="G9" s="3"/>
      <c r="H9" s="3"/>
      <c r="I9" s="3"/>
      <c r="J9" s="3"/>
      <c r="K9" s="3"/>
    </row>
    <row r="10" spans="1:11" ht="15" customHeight="1">
      <c r="A10" s="3" t="s">
        <v>37</v>
      </c>
      <c r="B10" s="6" t="str">
        <f t="shared" si="1"/>
        <v>Title Folder 6</v>
      </c>
      <c r="C10" s="6" t="str">
        <f t="shared" si="0"/>
        <v>Scope Folder 6</v>
      </c>
      <c r="D10" s="6" t="str">
        <f t="shared" si="0"/>
        <v>CUST1 Folder 6</v>
      </c>
      <c r="E10" s="3" t="s">
        <v>8</v>
      </c>
      <c r="F10" s="3" t="str">
        <f t="shared" si="2"/>
        <v>Title Folder 6 Req 1</v>
      </c>
      <c r="G10" s="3" t="str">
        <f t="shared" si="3"/>
        <v>This is Description for Title Folder 6 Req 1</v>
      </c>
      <c r="H10" s="3" t="str">
        <f>CONCATENATE("Cust ",F10)</f>
        <v>Cust Title Folder 6 Req 1</v>
      </c>
      <c r="I10" s="3" t="s">
        <v>26</v>
      </c>
      <c r="J10" s="3">
        <v>5</v>
      </c>
      <c r="K10" s="3">
        <v>2</v>
      </c>
    </row>
  </sheetData>
  <mergeCells count="2">
    <mergeCell ref="E1:K1"/>
    <mergeCell ref="A1:D1"/>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L303"/>
  <sheetViews>
    <sheetView tabSelected="1" topLeftCell="A298" workbookViewId="0">
      <selection activeCell="C3" sqref="A3:XFD303"/>
    </sheetView>
  </sheetViews>
  <sheetFormatPr baseColWidth="10" defaultColWidth="9.1640625" defaultRowHeight="15" customHeight="1" x14ac:dyDescent="0"/>
  <cols>
    <col min="1" max="1" width="20.6640625" bestFit="1" customWidth="1"/>
    <col min="3" max="3" width="50.5" bestFit="1" customWidth="1"/>
    <col min="4" max="4" width="90.6640625" bestFit="1" customWidth="1"/>
    <col min="5" max="5" width="84.6640625" bestFit="1" customWidth="1"/>
    <col min="6" max="6" width="17.33203125" bestFit="1" customWidth="1"/>
    <col min="7" max="7" width="10.33203125" bestFit="1" customWidth="1"/>
    <col min="8" max="8" width="102.1640625" bestFit="1" customWidth="1"/>
    <col min="9" max="9" width="164.6640625" bestFit="1" customWidth="1"/>
    <col min="10" max="10" width="17.6640625" bestFit="1" customWidth="1"/>
    <col min="11" max="11" width="12.5" bestFit="1" customWidth="1"/>
  </cols>
  <sheetData>
    <row r="1" spans="1:12" ht="15" customHeight="1" thickTop="1" thickBot="1">
      <c r="A1" s="14" t="s">
        <v>27</v>
      </c>
      <c r="B1" s="16"/>
      <c r="C1" s="14" t="s">
        <v>9</v>
      </c>
      <c r="D1" s="15"/>
      <c r="E1" s="15"/>
      <c r="F1" s="15"/>
      <c r="G1" s="15"/>
      <c r="H1" s="15"/>
      <c r="I1" s="15"/>
      <c r="J1" s="15"/>
      <c r="K1" s="16"/>
      <c r="L1" s="8"/>
    </row>
    <row r="2" spans="1:12" ht="15" customHeight="1" thickTop="1">
      <c r="A2" s="9" t="s">
        <v>11</v>
      </c>
      <c r="B2" s="10" t="s">
        <v>28</v>
      </c>
      <c r="C2" s="10" t="s">
        <v>11</v>
      </c>
      <c r="D2" s="10" t="s">
        <v>12</v>
      </c>
      <c r="E2" s="10" t="s">
        <v>13</v>
      </c>
      <c r="F2" s="10" t="s">
        <v>17</v>
      </c>
      <c r="G2" s="10" t="s">
        <v>16</v>
      </c>
      <c r="H2" s="10" t="s">
        <v>14</v>
      </c>
      <c r="I2" s="10" t="s">
        <v>15</v>
      </c>
      <c r="J2" s="10" t="s">
        <v>18</v>
      </c>
      <c r="K2" s="10" t="s">
        <v>10</v>
      </c>
    </row>
    <row r="3" spans="1:12" s="7" customFormat="1" ht="12">
      <c r="A3" s="7" t="s">
        <v>40</v>
      </c>
      <c r="C3" s="7" t="s">
        <v>41</v>
      </c>
      <c r="D3" s="7" t="s">
        <v>42</v>
      </c>
      <c r="H3" s="7" t="s">
        <v>43</v>
      </c>
      <c r="I3" s="7" t="s">
        <v>44</v>
      </c>
    </row>
    <row r="4" spans="1:12" s="7" customFormat="1" ht="12">
      <c r="H4" s="7" t="s">
        <v>45</v>
      </c>
      <c r="I4" s="7" t="s">
        <v>46</v>
      </c>
    </row>
    <row r="5" spans="1:12" s="7" customFormat="1" ht="12">
      <c r="H5" s="7" t="s">
        <v>47</v>
      </c>
      <c r="I5" s="7" t="s">
        <v>48</v>
      </c>
    </row>
    <row r="6" spans="1:12" s="7" customFormat="1" ht="12">
      <c r="A6" s="7" t="s">
        <v>49</v>
      </c>
      <c r="C6" s="7" t="s">
        <v>50</v>
      </c>
      <c r="D6" s="7" t="s">
        <v>51</v>
      </c>
      <c r="H6" s="7" t="s">
        <v>52</v>
      </c>
      <c r="I6" s="7" t="s">
        <v>53</v>
      </c>
      <c r="K6" s="7" t="s">
        <v>54</v>
      </c>
    </row>
    <row r="7" spans="1:12" s="7" customFormat="1" ht="12">
      <c r="H7" s="7" t="s">
        <v>55</v>
      </c>
      <c r="I7" s="7" t="s">
        <v>56</v>
      </c>
    </row>
    <row r="8" spans="1:12" s="7" customFormat="1" ht="12">
      <c r="H8" s="7" t="s">
        <v>57</v>
      </c>
      <c r="I8" s="7" t="s">
        <v>58</v>
      </c>
    </row>
    <row r="9" spans="1:12" s="7" customFormat="1" ht="12">
      <c r="A9" s="7" t="s">
        <v>49</v>
      </c>
      <c r="C9" s="7" t="s">
        <v>59</v>
      </c>
      <c r="D9" s="7" t="s">
        <v>60</v>
      </c>
      <c r="E9" s="7" t="s">
        <v>61</v>
      </c>
      <c r="H9" s="7" t="s">
        <v>43</v>
      </c>
      <c r="I9" s="7" t="s">
        <v>62</v>
      </c>
      <c r="K9" s="7" t="s">
        <v>63</v>
      </c>
    </row>
    <row r="10" spans="1:12" s="7" customFormat="1" ht="12">
      <c r="H10" s="7" t="s">
        <v>64</v>
      </c>
      <c r="I10" s="7" t="s">
        <v>65</v>
      </c>
    </row>
    <row r="11" spans="1:12" s="7" customFormat="1" ht="12">
      <c r="H11" s="7" t="s">
        <v>66</v>
      </c>
      <c r="I11" s="7" t="s">
        <v>67</v>
      </c>
    </row>
    <row r="12" spans="1:12" s="7" customFormat="1" ht="12">
      <c r="H12" s="7" t="s">
        <v>68</v>
      </c>
      <c r="I12" s="7" t="s">
        <v>69</v>
      </c>
    </row>
    <row r="13" spans="1:12" s="7" customFormat="1" ht="12">
      <c r="H13" s="7" t="s">
        <v>70</v>
      </c>
    </row>
    <row r="14" spans="1:12" s="7" customFormat="1" ht="12">
      <c r="H14" s="7" t="s">
        <v>71</v>
      </c>
      <c r="I14" s="7" t="s">
        <v>72</v>
      </c>
    </row>
    <row r="15" spans="1:12" s="7" customFormat="1" ht="12">
      <c r="A15" s="7" t="s">
        <v>49</v>
      </c>
      <c r="C15" s="7" t="s">
        <v>73</v>
      </c>
      <c r="D15" s="7" t="s">
        <v>74</v>
      </c>
      <c r="E15" s="7" t="s">
        <v>61</v>
      </c>
      <c r="H15" s="7" t="s">
        <v>43</v>
      </c>
      <c r="I15" s="7" t="s">
        <v>62</v>
      </c>
      <c r="K15" s="7" t="s">
        <v>75</v>
      </c>
    </row>
    <row r="16" spans="1:12" s="7" customFormat="1" ht="12">
      <c r="H16" s="7" t="s">
        <v>66</v>
      </c>
      <c r="I16" s="7" t="s">
        <v>76</v>
      </c>
    </row>
    <row r="17" spans="1:11" s="7" customFormat="1" ht="12">
      <c r="H17" s="7" t="s">
        <v>77</v>
      </c>
      <c r="I17" s="7" t="s">
        <v>69</v>
      </c>
    </row>
    <row r="18" spans="1:11" s="7" customFormat="1" ht="12">
      <c r="H18" s="7" t="s">
        <v>70</v>
      </c>
    </row>
    <row r="19" spans="1:11" s="7" customFormat="1" ht="12">
      <c r="H19" s="7" t="s">
        <v>71</v>
      </c>
      <c r="I19" s="7" t="s">
        <v>72</v>
      </c>
    </row>
    <row r="20" spans="1:11" s="7" customFormat="1" ht="12">
      <c r="A20" s="7" t="s">
        <v>49</v>
      </c>
      <c r="C20" s="7" t="s">
        <v>78</v>
      </c>
      <c r="D20" s="7" t="s">
        <v>79</v>
      </c>
      <c r="E20" s="7" t="s">
        <v>80</v>
      </c>
      <c r="H20" s="7" t="s">
        <v>43</v>
      </c>
      <c r="I20" s="7" t="s">
        <v>62</v>
      </c>
      <c r="K20" s="7" t="s">
        <v>63</v>
      </c>
    </row>
    <row r="21" spans="1:11" s="7" customFormat="1" ht="12">
      <c r="H21" s="7" t="s">
        <v>66</v>
      </c>
      <c r="I21" s="7" t="s">
        <v>81</v>
      </c>
    </row>
    <row r="22" spans="1:11" s="7" customFormat="1" ht="12">
      <c r="H22" s="7" t="s">
        <v>82</v>
      </c>
      <c r="I22" s="7" t="s">
        <v>83</v>
      </c>
    </row>
    <row r="23" spans="1:11" s="7" customFormat="1" ht="12">
      <c r="H23" s="7" t="s">
        <v>84</v>
      </c>
      <c r="I23" s="7" t="s">
        <v>69</v>
      </c>
    </row>
    <row r="24" spans="1:11" s="7" customFormat="1" ht="12">
      <c r="H24" s="7" t="s">
        <v>70</v>
      </c>
    </row>
    <row r="25" spans="1:11" s="7" customFormat="1" ht="12">
      <c r="H25" s="7" t="s">
        <v>71</v>
      </c>
      <c r="I25" s="7" t="s">
        <v>72</v>
      </c>
    </row>
    <row r="26" spans="1:11" s="7" customFormat="1" ht="12">
      <c r="H26" s="7" t="s">
        <v>85</v>
      </c>
      <c r="I26" s="7" t="s">
        <v>86</v>
      </c>
    </row>
    <row r="27" spans="1:11" s="7" customFormat="1" ht="12">
      <c r="A27" s="7" t="s">
        <v>49</v>
      </c>
      <c r="C27" s="7" t="s">
        <v>87</v>
      </c>
      <c r="D27" s="7" t="s">
        <v>88</v>
      </c>
      <c r="E27" s="7" t="s">
        <v>80</v>
      </c>
      <c r="H27" s="7" t="s">
        <v>43</v>
      </c>
    </row>
    <row r="28" spans="1:11" s="7" customFormat="1" ht="12">
      <c r="H28" s="7" t="s">
        <v>89</v>
      </c>
      <c r="I28" s="7" t="s">
        <v>90</v>
      </c>
    </row>
    <row r="29" spans="1:11" s="7" customFormat="1" ht="12">
      <c r="H29" s="7" t="s">
        <v>91</v>
      </c>
      <c r="I29" s="7" t="s">
        <v>92</v>
      </c>
    </row>
    <row r="30" spans="1:11" s="7" customFormat="1" ht="12">
      <c r="H30" s="7" t="s">
        <v>93</v>
      </c>
      <c r="I30" s="7" t="s">
        <v>94</v>
      </c>
    </row>
    <row r="31" spans="1:11" s="7" customFormat="1" ht="12">
      <c r="I31" s="7" t="s">
        <v>95</v>
      </c>
    </row>
    <row r="32" spans="1:11" s="7" customFormat="1" ht="12">
      <c r="A32" s="7" t="s">
        <v>49</v>
      </c>
      <c r="C32" s="17" t="s">
        <v>146</v>
      </c>
      <c r="D32" s="7" t="s">
        <v>96</v>
      </c>
      <c r="H32" s="7" t="s">
        <v>43</v>
      </c>
      <c r="I32" s="7" t="s">
        <v>97</v>
      </c>
      <c r="K32" s="7" t="s">
        <v>98</v>
      </c>
    </row>
    <row r="33" spans="8:9" s="7" customFormat="1" ht="12">
      <c r="I33" s="7" t="s">
        <v>99</v>
      </c>
    </row>
    <row r="34" spans="8:9" s="7" customFormat="1" ht="12">
      <c r="I34" s="7" t="s">
        <v>100</v>
      </c>
    </row>
    <row r="35" spans="8:9" s="7" customFormat="1" ht="12">
      <c r="I35" s="7" t="s">
        <v>101</v>
      </c>
    </row>
    <row r="36" spans="8:9" s="7" customFormat="1" ht="12">
      <c r="I36" s="7" t="s">
        <v>102</v>
      </c>
    </row>
    <row r="37" spans="8:9" s="7" customFormat="1" ht="12">
      <c r="I37" s="7" t="s">
        <v>103</v>
      </c>
    </row>
    <row r="38" spans="8:9" s="7" customFormat="1" ht="12">
      <c r="I38" s="7" t="s">
        <v>104</v>
      </c>
    </row>
    <row r="39" spans="8:9" s="7" customFormat="1" ht="12">
      <c r="I39" s="7" t="s">
        <v>105</v>
      </c>
    </row>
    <row r="40" spans="8:9" s="7" customFormat="1" ht="12">
      <c r="I40" s="7" t="s">
        <v>106</v>
      </c>
    </row>
    <row r="41" spans="8:9" s="7" customFormat="1" ht="12">
      <c r="I41" s="7" t="s">
        <v>107</v>
      </c>
    </row>
    <row r="42" spans="8:9" s="7" customFormat="1" ht="12">
      <c r="I42" s="7" t="s">
        <v>108</v>
      </c>
    </row>
    <row r="43" spans="8:9" s="7" customFormat="1" ht="12">
      <c r="I43" s="7" t="s">
        <v>109</v>
      </c>
    </row>
    <row r="44" spans="8:9" s="7" customFormat="1" ht="12">
      <c r="H44" s="7" t="s">
        <v>110</v>
      </c>
    </row>
    <row r="45" spans="8:9" s="7" customFormat="1" ht="12">
      <c r="H45" s="7" t="s">
        <v>111</v>
      </c>
      <c r="I45" s="7" t="s">
        <v>112</v>
      </c>
    </row>
    <row r="46" spans="8:9" s="7" customFormat="1" ht="12">
      <c r="I46" s="7" t="s">
        <v>100</v>
      </c>
    </row>
    <row r="47" spans="8:9" s="7" customFormat="1" ht="12">
      <c r="I47" s="7" t="s">
        <v>101</v>
      </c>
    </row>
    <row r="48" spans="8:9" s="7" customFormat="1" ht="12">
      <c r="I48" s="7" t="s">
        <v>102</v>
      </c>
    </row>
    <row r="49" spans="1:11" s="7" customFormat="1" ht="12">
      <c r="I49" s="7" t="s">
        <v>103</v>
      </c>
    </row>
    <row r="50" spans="1:11" s="7" customFormat="1" ht="12">
      <c r="I50" s="7" t="s">
        <v>104</v>
      </c>
    </row>
    <row r="51" spans="1:11" s="7" customFormat="1" ht="12">
      <c r="I51" s="7" t="s">
        <v>105</v>
      </c>
    </row>
    <row r="52" spans="1:11" s="7" customFormat="1" ht="12">
      <c r="I52" s="7" t="s">
        <v>106</v>
      </c>
    </row>
    <row r="53" spans="1:11" s="7" customFormat="1" ht="12">
      <c r="I53" s="7" t="s">
        <v>107</v>
      </c>
    </row>
    <row r="54" spans="1:11" s="7" customFormat="1" ht="12">
      <c r="I54" s="7" t="s">
        <v>108</v>
      </c>
    </row>
    <row r="55" spans="1:11" s="7" customFormat="1" ht="12">
      <c r="I55" s="7" t="s">
        <v>109</v>
      </c>
    </row>
    <row r="56" spans="1:11" s="7" customFormat="1" ht="12">
      <c r="H56" s="7" t="s">
        <v>113</v>
      </c>
    </row>
    <row r="57" spans="1:11" s="7" customFormat="1" ht="12">
      <c r="A57" s="7" t="s">
        <v>49</v>
      </c>
      <c r="C57" s="7" t="s">
        <v>114</v>
      </c>
      <c r="D57" s="7" t="s">
        <v>115</v>
      </c>
      <c r="H57" s="7" t="s">
        <v>116</v>
      </c>
      <c r="I57" s="7" t="s">
        <v>117</v>
      </c>
      <c r="K57" s="7" t="s">
        <v>98</v>
      </c>
    </row>
    <row r="58" spans="1:11" s="7" customFormat="1" ht="12">
      <c r="A58" s="7" t="s">
        <v>49</v>
      </c>
      <c r="C58" s="7" t="s">
        <v>118</v>
      </c>
      <c r="D58" s="7" t="s">
        <v>119</v>
      </c>
      <c r="H58" s="7" t="s">
        <v>120</v>
      </c>
      <c r="I58" s="7" t="s">
        <v>121</v>
      </c>
    </row>
    <row r="59" spans="1:11" s="7" customFormat="1" ht="12">
      <c r="H59" s="7" t="s">
        <v>122</v>
      </c>
      <c r="I59" s="7" t="s">
        <v>123</v>
      </c>
    </row>
    <row r="60" spans="1:11" s="7" customFormat="1" ht="12">
      <c r="H60" s="7" t="s">
        <v>124</v>
      </c>
      <c r="I60" s="7" t="s">
        <v>125</v>
      </c>
    </row>
    <row r="61" spans="1:11" s="7" customFormat="1" ht="12">
      <c r="A61" s="7" t="s">
        <v>49</v>
      </c>
      <c r="C61" s="7" t="s">
        <v>126</v>
      </c>
      <c r="D61" s="7" t="s">
        <v>127</v>
      </c>
      <c r="H61" s="7" t="s">
        <v>43</v>
      </c>
      <c r="I61" s="7" t="s">
        <v>97</v>
      </c>
      <c r="K61" s="7" t="s">
        <v>128</v>
      </c>
    </row>
    <row r="62" spans="1:11" s="7" customFormat="1" ht="12">
      <c r="I62" s="7" t="s">
        <v>99</v>
      </c>
    </row>
    <row r="63" spans="1:11" s="7" customFormat="1" ht="12">
      <c r="H63" s="7" t="s">
        <v>110</v>
      </c>
    </row>
    <row r="64" spans="1:11" s="7" customFormat="1" ht="12">
      <c r="H64" s="7" t="s">
        <v>120</v>
      </c>
    </row>
    <row r="65" spans="1:11" s="7" customFormat="1" ht="12">
      <c r="H65" s="7" t="s">
        <v>129</v>
      </c>
      <c r="I65" s="7" t="s">
        <v>130</v>
      </c>
    </row>
    <row r="66" spans="1:11" s="7" customFormat="1" ht="12">
      <c r="A66" s="7" t="s">
        <v>49</v>
      </c>
      <c r="C66" s="7" t="s">
        <v>131</v>
      </c>
      <c r="D66" s="7" t="s">
        <v>132</v>
      </c>
      <c r="H66" s="7" t="s">
        <v>43</v>
      </c>
      <c r="I66" s="7" t="s">
        <v>97</v>
      </c>
      <c r="K66" s="7" t="s">
        <v>128</v>
      </c>
    </row>
    <row r="67" spans="1:11" s="7" customFormat="1" ht="12">
      <c r="I67" s="7" t="s">
        <v>99</v>
      </c>
    </row>
    <row r="68" spans="1:11" s="7" customFormat="1" ht="12">
      <c r="H68" s="7" t="s">
        <v>133</v>
      </c>
    </row>
    <row r="69" spans="1:11" s="7" customFormat="1" ht="12">
      <c r="H69" s="7" t="s">
        <v>120</v>
      </c>
    </row>
    <row r="70" spans="1:11" s="7" customFormat="1" ht="12">
      <c r="H70" s="7" t="s">
        <v>129</v>
      </c>
      <c r="I70" s="7" t="s">
        <v>134</v>
      </c>
    </row>
    <row r="71" spans="1:11" s="7" customFormat="1" ht="12">
      <c r="A71" s="7" t="s">
        <v>49</v>
      </c>
      <c r="C71" s="7" t="s">
        <v>135</v>
      </c>
      <c r="D71" s="7" t="s">
        <v>136</v>
      </c>
      <c r="H71" s="7" t="s">
        <v>43</v>
      </c>
      <c r="I71" s="7" t="s">
        <v>97</v>
      </c>
      <c r="K71" s="7" t="s">
        <v>128</v>
      </c>
    </row>
    <row r="72" spans="1:11" s="7" customFormat="1" ht="12">
      <c r="I72" s="7" t="s">
        <v>99</v>
      </c>
    </row>
    <row r="73" spans="1:11" s="7" customFormat="1" ht="12">
      <c r="H73" s="7" t="s">
        <v>137</v>
      </c>
    </row>
    <row r="74" spans="1:11" s="7" customFormat="1" ht="12">
      <c r="H74" s="7" t="s">
        <v>120</v>
      </c>
    </row>
    <row r="75" spans="1:11" s="7" customFormat="1" ht="12">
      <c r="H75" s="7" t="s">
        <v>129</v>
      </c>
      <c r="I75" s="7" t="s">
        <v>138</v>
      </c>
    </row>
    <row r="76" spans="1:11" s="7" customFormat="1" ht="12">
      <c r="A76" s="7" t="s">
        <v>139</v>
      </c>
      <c r="C76" s="17" t="s">
        <v>50</v>
      </c>
      <c r="D76" s="7" t="s">
        <v>140</v>
      </c>
      <c r="H76" s="7" t="s">
        <v>52</v>
      </c>
      <c r="I76" s="7" t="s">
        <v>53</v>
      </c>
    </row>
    <row r="77" spans="1:11" s="7" customFormat="1" ht="12">
      <c r="H77" s="7" t="s">
        <v>141</v>
      </c>
      <c r="I77" s="7" t="s">
        <v>142</v>
      </c>
    </row>
    <row r="78" spans="1:11" s="7" customFormat="1" ht="12">
      <c r="H78" s="7" t="s">
        <v>57</v>
      </c>
      <c r="I78" s="7" t="s">
        <v>58</v>
      </c>
    </row>
    <row r="79" spans="1:11" s="7" customFormat="1" ht="12">
      <c r="A79" s="7" t="s">
        <v>139</v>
      </c>
      <c r="C79" s="7" t="s">
        <v>143</v>
      </c>
      <c r="D79" s="7" t="s">
        <v>60</v>
      </c>
      <c r="E79" s="7" t="s">
        <v>61</v>
      </c>
      <c r="H79" s="7" t="s">
        <v>43</v>
      </c>
      <c r="I79" s="7" t="s">
        <v>62</v>
      </c>
      <c r="K79" s="7" t="s">
        <v>63</v>
      </c>
    </row>
    <row r="80" spans="1:11" s="7" customFormat="1" ht="12">
      <c r="H80" s="7" t="s">
        <v>144</v>
      </c>
      <c r="I80" s="7" t="s">
        <v>65</v>
      </c>
    </row>
    <row r="81" spans="1:11" s="7" customFormat="1" ht="12">
      <c r="H81" s="7" t="s">
        <v>66</v>
      </c>
      <c r="I81" s="7" t="s">
        <v>67</v>
      </c>
    </row>
    <row r="82" spans="1:11" s="7" customFormat="1" ht="12">
      <c r="H82" s="7" t="s">
        <v>68</v>
      </c>
      <c r="I82" s="7" t="s">
        <v>69</v>
      </c>
    </row>
    <row r="83" spans="1:11" s="7" customFormat="1" ht="12">
      <c r="H83" s="7" t="s">
        <v>70</v>
      </c>
    </row>
    <row r="84" spans="1:11" s="7" customFormat="1" ht="12">
      <c r="H84" s="7" t="s">
        <v>71</v>
      </c>
      <c r="I84" s="7" t="s">
        <v>72</v>
      </c>
    </row>
    <row r="85" spans="1:11" s="7" customFormat="1" ht="12">
      <c r="A85" s="7" t="s">
        <v>139</v>
      </c>
      <c r="C85" s="7" t="s">
        <v>143</v>
      </c>
      <c r="D85" s="7" t="s">
        <v>74</v>
      </c>
      <c r="E85" s="7" t="s">
        <v>61</v>
      </c>
      <c r="H85" s="7" t="s">
        <v>43</v>
      </c>
      <c r="I85" s="7" t="s">
        <v>62</v>
      </c>
      <c r="K85" s="7" t="s">
        <v>75</v>
      </c>
    </row>
    <row r="86" spans="1:11" s="7" customFormat="1" ht="12">
      <c r="H86" s="7" t="s">
        <v>66</v>
      </c>
      <c r="I86" s="7" t="s">
        <v>76</v>
      </c>
    </row>
    <row r="87" spans="1:11" s="7" customFormat="1" ht="12">
      <c r="H87" s="7" t="s">
        <v>77</v>
      </c>
      <c r="I87" s="7" t="s">
        <v>69</v>
      </c>
    </row>
    <row r="88" spans="1:11" s="7" customFormat="1" ht="12">
      <c r="H88" s="7" t="s">
        <v>70</v>
      </c>
    </row>
    <row r="89" spans="1:11" s="7" customFormat="1" ht="12">
      <c r="H89" s="7" t="s">
        <v>71</v>
      </c>
      <c r="I89" s="7" t="s">
        <v>72</v>
      </c>
    </row>
    <row r="90" spans="1:11" s="7" customFormat="1" ht="12">
      <c r="A90" s="7" t="s">
        <v>139</v>
      </c>
      <c r="C90" s="7" t="s">
        <v>143</v>
      </c>
      <c r="D90" s="7" t="s">
        <v>79</v>
      </c>
      <c r="E90" s="7" t="s">
        <v>80</v>
      </c>
      <c r="H90" s="7" t="s">
        <v>43</v>
      </c>
      <c r="I90" s="7" t="s">
        <v>62</v>
      </c>
      <c r="K90" s="7" t="s">
        <v>63</v>
      </c>
    </row>
    <row r="91" spans="1:11" s="7" customFormat="1" ht="12">
      <c r="H91" s="7" t="s">
        <v>66</v>
      </c>
      <c r="I91" s="7" t="s">
        <v>67</v>
      </c>
    </row>
    <row r="92" spans="1:11" s="7" customFormat="1" ht="12">
      <c r="H92" s="7" t="s">
        <v>82</v>
      </c>
      <c r="I92" s="7" t="s">
        <v>83</v>
      </c>
    </row>
    <row r="93" spans="1:11" s="7" customFormat="1" ht="12">
      <c r="H93" s="7" t="s">
        <v>84</v>
      </c>
      <c r="I93" s="7" t="s">
        <v>69</v>
      </c>
    </row>
    <row r="94" spans="1:11" s="7" customFormat="1" ht="12">
      <c r="H94" s="7" t="s">
        <v>70</v>
      </c>
    </row>
    <row r="95" spans="1:11" s="7" customFormat="1" ht="12">
      <c r="H95" s="7" t="s">
        <v>71</v>
      </c>
      <c r="I95" s="7" t="s">
        <v>72</v>
      </c>
    </row>
    <row r="96" spans="1:11" s="7" customFormat="1" ht="12">
      <c r="H96" s="7" t="s">
        <v>145</v>
      </c>
      <c r="I96" s="7" t="s">
        <v>86</v>
      </c>
    </row>
    <row r="97" spans="1:11" s="7" customFormat="1" ht="12">
      <c r="A97" s="7" t="s">
        <v>139</v>
      </c>
      <c r="C97" s="7" t="s">
        <v>146</v>
      </c>
      <c r="D97" s="7" t="s">
        <v>147</v>
      </c>
      <c r="H97" s="7" t="s">
        <v>43</v>
      </c>
      <c r="I97" s="7" t="s">
        <v>97</v>
      </c>
      <c r="K97" s="7" t="s">
        <v>98</v>
      </c>
    </row>
    <row r="98" spans="1:11" s="7" customFormat="1" ht="12">
      <c r="I98" s="7" t="s">
        <v>99</v>
      </c>
    </row>
    <row r="99" spans="1:11" s="7" customFormat="1" ht="12">
      <c r="I99" s="7" t="s">
        <v>100</v>
      </c>
    </row>
    <row r="100" spans="1:11" s="7" customFormat="1" ht="12">
      <c r="I100" s="7" t="s">
        <v>101</v>
      </c>
    </row>
    <row r="101" spans="1:11" s="7" customFormat="1" ht="12">
      <c r="I101" s="7" t="s">
        <v>102</v>
      </c>
    </row>
    <row r="102" spans="1:11" s="7" customFormat="1" ht="12">
      <c r="I102" s="7" t="s">
        <v>103</v>
      </c>
    </row>
    <row r="103" spans="1:11" s="7" customFormat="1" ht="12">
      <c r="I103" s="7" t="s">
        <v>148</v>
      </c>
    </row>
    <row r="104" spans="1:11" s="7" customFormat="1" ht="12">
      <c r="I104" s="7" t="s">
        <v>149</v>
      </c>
    </row>
    <row r="105" spans="1:11" s="7" customFormat="1" ht="12">
      <c r="I105" s="7" t="s">
        <v>106</v>
      </c>
    </row>
    <row r="106" spans="1:11" s="7" customFormat="1" ht="12">
      <c r="I106" s="7" t="s">
        <v>107</v>
      </c>
    </row>
    <row r="107" spans="1:11" s="7" customFormat="1" ht="12">
      <c r="I107" s="7" t="s">
        <v>150</v>
      </c>
    </row>
    <row r="108" spans="1:11" s="7" customFormat="1" ht="12">
      <c r="I108" s="7" t="s">
        <v>109</v>
      </c>
    </row>
    <row r="109" spans="1:11" s="7" customFormat="1" ht="12">
      <c r="H109" s="7" t="s">
        <v>151</v>
      </c>
    </row>
    <row r="110" spans="1:11" s="7" customFormat="1" ht="12">
      <c r="H110" s="7" t="s">
        <v>111</v>
      </c>
      <c r="I110" s="7" t="s">
        <v>112</v>
      </c>
    </row>
    <row r="111" spans="1:11" s="7" customFormat="1" ht="12">
      <c r="I111" s="7" t="s">
        <v>100</v>
      </c>
    </row>
    <row r="112" spans="1:11" s="7" customFormat="1" ht="12">
      <c r="I112" s="7" t="s">
        <v>101</v>
      </c>
    </row>
    <row r="113" spans="1:11" s="7" customFormat="1" ht="12">
      <c r="I113" s="7" t="s">
        <v>102</v>
      </c>
    </row>
    <row r="114" spans="1:11" s="7" customFormat="1" ht="12">
      <c r="I114" s="7" t="s">
        <v>103</v>
      </c>
    </row>
    <row r="115" spans="1:11" s="7" customFormat="1" ht="12">
      <c r="I115" s="7" t="s">
        <v>148</v>
      </c>
    </row>
    <row r="116" spans="1:11" s="7" customFormat="1" ht="12">
      <c r="I116" s="7" t="s">
        <v>149</v>
      </c>
    </row>
    <row r="117" spans="1:11" s="7" customFormat="1" ht="12">
      <c r="I117" s="7" t="s">
        <v>106</v>
      </c>
    </row>
    <row r="118" spans="1:11" s="7" customFormat="1" ht="12">
      <c r="I118" s="7" t="s">
        <v>107</v>
      </c>
    </row>
    <row r="119" spans="1:11" s="7" customFormat="1" ht="12">
      <c r="I119" s="7" t="s">
        <v>150</v>
      </c>
    </row>
    <row r="120" spans="1:11" s="7" customFormat="1" ht="12">
      <c r="I120" s="7" t="s">
        <v>109</v>
      </c>
    </row>
    <row r="121" spans="1:11" s="7" customFormat="1" ht="12">
      <c r="A121" s="7" t="s">
        <v>139</v>
      </c>
      <c r="C121" s="17" t="s">
        <v>114</v>
      </c>
      <c r="D121" s="7" t="s">
        <v>115</v>
      </c>
      <c r="H121" s="7" t="s">
        <v>116</v>
      </c>
      <c r="I121" s="7" t="s">
        <v>117</v>
      </c>
    </row>
    <row r="122" spans="1:11" s="7" customFormat="1" ht="12">
      <c r="A122" s="7" t="s">
        <v>139</v>
      </c>
      <c r="C122" s="7" t="s">
        <v>118</v>
      </c>
      <c r="D122" s="7" t="s">
        <v>119</v>
      </c>
      <c r="H122" s="7" t="s">
        <v>120</v>
      </c>
      <c r="I122" s="7" t="s">
        <v>121</v>
      </c>
    </row>
    <row r="123" spans="1:11" s="7" customFormat="1" ht="12">
      <c r="H123" s="7" t="s">
        <v>122</v>
      </c>
      <c r="I123" s="7" t="s">
        <v>123</v>
      </c>
    </row>
    <row r="124" spans="1:11" s="7" customFormat="1" ht="12">
      <c r="H124" s="7" t="s">
        <v>124</v>
      </c>
      <c r="I124" s="7" t="s">
        <v>125</v>
      </c>
    </row>
    <row r="125" spans="1:11" s="7" customFormat="1" ht="12">
      <c r="A125" s="7" t="s">
        <v>139</v>
      </c>
      <c r="C125" s="7" t="s">
        <v>126</v>
      </c>
      <c r="D125" s="7" t="s">
        <v>127</v>
      </c>
      <c r="H125" s="7" t="s">
        <v>43</v>
      </c>
      <c r="I125" s="7" t="s">
        <v>97</v>
      </c>
      <c r="K125" s="7" t="s">
        <v>128</v>
      </c>
    </row>
    <row r="126" spans="1:11" s="7" customFormat="1" ht="12">
      <c r="I126" s="7" t="s">
        <v>99</v>
      </c>
    </row>
    <row r="127" spans="1:11" s="7" customFormat="1" ht="12">
      <c r="H127" s="7" t="s">
        <v>152</v>
      </c>
    </row>
    <row r="128" spans="1:11" s="7" customFormat="1" ht="12">
      <c r="H128" s="7" t="s">
        <v>120</v>
      </c>
    </row>
    <row r="129" spans="1:11" s="7" customFormat="1" ht="12">
      <c r="H129" s="7" t="s">
        <v>129</v>
      </c>
      <c r="I129" s="7" t="s">
        <v>130</v>
      </c>
    </row>
    <row r="130" spans="1:11" s="7" customFormat="1" ht="12">
      <c r="A130" s="7" t="s">
        <v>139</v>
      </c>
      <c r="C130" s="7" t="s">
        <v>126</v>
      </c>
      <c r="D130" s="7" t="s">
        <v>153</v>
      </c>
      <c r="H130" s="7" t="s">
        <v>43</v>
      </c>
      <c r="I130" s="7" t="s">
        <v>97</v>
      </c>
      <c r="K130" s="7" t="s">
        <v>128</v>
      </c>
    </row>
    <row r="131" spans="1:11" s="7" customFormat="1" ht="12">
      <c r="I131" s="7" t="s">
        <v>99</v>
      </c>
    </row>
    <row r="132" spans="1:11" s="7" customFormat="1" ht="12">
      <c r="H132" s="7" t="s">
        <v>154</v>
      </c>
    </row>
    <row r="133" spans="1:11" s="7" customFormat="1" ht="12">
      <c r="H133" s="7" t="s">
        <v>120</v>
      </c>
    </row>
    <row r="134" spans="1:11" s="7" customFormat="1" ht="12">
      <c r="H134" s="7" t="s">
        <v>129</v>
      </c>
      <c r="I134" s="7" t="s">
        <v>134</v>
      </c>
    </row>
    <row r="135" spans="1:11" s="7" customFormat="1" ht="12">
      <c r="A135" s="7" t="s">
        <v>139</v>
      </c>
      <c r="C135" s="7" t="s">
        <v>126</v>
      </c>
      <c r="D135" s="7" t="s">
        <v>155</v>
      </c>
      <c r="H135" s="7" t="s">
        <v>43</v>
      </c>
      <c r="I135" s="7" t="s">
        <v>97</v>
      </c>
      <c r="K135" s="7" t="s">
        <v>128</v>
      </c>
    </row>
    <row r="136" spans="1:11" s="7" customFormat="1" ht="12">
      <c r="I136" s="7" t="s">
        <v>99</v>
      </c>
    </row>
    <row r="137" spans="1:11" s="7" customFormat="1" ht="12">
      <c r="H137" s="7" t="s">
        <v>156</v>
      </c>
    </row>
    <row r="138" spans="1:11" s="7" customFormat="1" ht="12">
      <c r="H138" s="7" t="s">
        <v>120</v>
      </c>
    </row>
    <row r="139" spans="1:11" s="7" customFormat="1" ht="12">
      <c r="H139" s="7" t="s">
        <v>129</v>
      </c>
      <c r="I139" s="7" t="s">
        <v>138</v>
      </c>
    </row>
    <row r="140" spans="1:11" s="7" customFormat="1" ht="12">
      <c r="A140" s="7" t="s">
        <v>139</v>
      </c>
      <c r="C140" s="7" t="s">
        <v>157</v>
      </c>
      <c r="D140" s="7" t="s">
        <v>158</v>
      </c>
      <c r="H140" s="7" t="s">
        <v>159</v>
      </c>
      <c r="I140" s="7" t="s">
        <v>160</v>
      </c>
    </row>
    <row r="141" spans="1:11" s="7" customFormat="1" ht="12">
      <c r="A141" s="7" t="s">
        <v>161</v>
      </c>
      <c r="C141" s="7" t="s">
        <v>162</v>
      </c>
      <c r="D141" s="7" t="s">
        <v>163</v>
      </c>
      <c r="H141" s="7" t="s">
        <v>164</v>
      </c>
      <c r="I141" s="7" t="s">
        <v>165</v>
      </c>
      <c r="K141" s="7" t="s">
        <v>166</v>
      </c>
    </row>
    <row r="142" spans="1:11" s="7" customFormat="1" ht="12">
      <c r="H142" s="7" t="s">
        <v>167</v>
      </c>
      <c r="I142" s="7" t="s">
        <v>168</v>
      </c>
    </row>
    <row r="143" spans="1:11" s="7" customFormat="1" ht="12">
      <c r="H143" s="7" t="s">
        <v>169</v>
      </c>
      <c r="I143" s="7" t="s">
        <v>165</v>
      </c>
    </row>
    <row r="144" spans="1:11" s="7" customFormat="1" ht="12">
      <c r="A144" s="7" t="s">
        <v>161</v>
      </c>
      <c r="C144" s="17" t="s">
        <v>358</v>
      </c>
      <c r="D144" s="7" t="s">
        <v>170</v>
      </c>
      <c r="H144" s="7" t="s">
        <v>171</v>
      </c>
    </row>
    <row r="145" spans="1:11" s="7" customFormat="1" ht="12">
      <c r="H145" s="7" t="s">
        <v>172</v>
      </c>
      <c r="I145" s="7" t="s">
        <v>173</v>
      </c>
    </row>
    <row r="146" spans="1:11" s="7" customFormat="1" ht="12">
      <c r="H146" s="7" t="s">
        <v>174</v>
      </c>
      <c r="I146" s="7" t="s">
        <v>175</v>
      </c>
    </row>
    <row r="147" spans="1:11" s="7" customFormat="1" ht="12">
      <c r="H147" s="7" t="s">
        <v>176</v>
      </c>
      <c r="I147" s="7" t="s">
        <v>177</v>
      </c>
    </row>
    <row r="148" spans="1:11" s="7" customFormat="1" ht="12">
      <c r="A148" s="7" t="s">
        <v>161</v>
      </c>
      <c r="C148" s="7" t="s">
        <v>178</v>
      </c>
      <c r="D148" s="7" t="s">
        <v>179</v>
      </c>
      <c r="H148" s="7" t="s">
        <v>180</v>
      </c>
      <c r="I148" s="7" t="s">
        <v>181</v>
      </c>
    </row>
    <row r="149" spans="1:11" s="7" customFormat="1" ht="12">
      <c r="A149" s="7" t="s">
        <v>161</v>
      </c>
      <c r="C149" s="7" t="s">
        <v>182</v>
      </c>
      <c r="H149" s="7" t="s">
        <v>183</v>
      </c>
      <c r="I149" s="7" t="s">
        <v>165</v>
      </c>
    </row>
    <row r="150" spans="1:11" s="7" customFormat="1" ht="12">
      <c r="H150" s="7" t="s">
        <v>184</v>
      </c>
      <c r="I150" s="7" t="s">
        <v>185</v>
      </c>
    </row>
    <row r="151" spans="1:11" s="7" customFormat="1" ht="12">
      <c r="A151" s="7" t="s">
        <v>161</v>
      </c>
      <c r="C151" s="7" t="s">
        <v>186</v>
      </c>
      <c r="D151" s="7" t="s">
        <v>187</v>
      </c>
      <c r="E151" s="7" t="s">
        <v>188</v>
      </c>
      <c r="H151" s="7" t="s">
        <v>183</v>
      </c>
      <c r="I151" s="7" t="s">
        <v>165</v>
      </c>
    </row>
    <row r="152" spans="1:11" s="7" customFormat="1" ht="12">
      <c r="H152" s="7" t="s">
        <v>189</v>
      </c>
      <c r="I152" s="7" t="s">
        <v>190</v>
      </c>
    </row>
    <row r="153" spans="1:11" s="7" customFormat="1" ht="12">
      <c r="A153" s="7" t="s">
        <v>161</v>
      </c>
      <c r="C153" s="7" t="s">
        <v>191</v>
      </c>
      <c r="D153" s="7" t="s">
        <v>191</v>
      </c>
      <c r="E153" s="7" t="s">
        <v>192</v>
      </c>
      <c r="H153" s="7" t="s">
        <v>183</v>
      </c>
      <c r="I153" s="7" t="s">
        <v>165</v>
      </c>
      <c r="K153" s="7" t="s">
        <v>193</v>
      </c>
    </row>
    <row r="154" spans="1:11" s="7" customFormat="1" ht="12">
      <c r="H154" s="7" t="s">
        <v>194</v>
      </c>
      <c r="I154" s="7" t="s">
        <v>195</v>
      </c>
    </row>
    <row r="155" spans="1:11" s="7" customFormat="1" ht="12">
      <c r="A155" s="7" t="s">
        <v>161</v>
      </c>
      <c r="C155" s="7" t="s">
        <v>196</v>
      </c>
      <c r="D155" s="7" t="s">
        <v>196</v>
      </c>
      <c r="E155" s="7" t="s">
        <v>197</v>
      </c>
      <c r="H155" s="7" t="s">
        <v>183</v>
      </c>
      <c r="I155" s="7" t="s">
        <v>165</v>
      </c>
    </row>
    <row r="156" spans="1:11" s="7" customFormat="1" ht="12">
      <c r="H156" s="7" t="s">
        <v>194</v>
      </c>
      <c r="I156" s="7" t="s">
        <v>195</v>
      </c>
    </row>
    <row r="157" spans="1:11" s="7" customFormat="1" ht="12">
      <c r="H157" s="7" t="s">
        <v>198</v>
      </c>
      <c r="I157" s="7" t="s">
        <v>199</v>
      </c>
    </row>
    <row r="158" spans="1:11" s="7" customFormat="1" ht="12">
      <c r="H158" s="7" t="s">
        <v>200</v>
      </c>
    </row>
    <row r="159" spans="1:11" s="7" customFormat="1" ht="12">
      <c r="H159" s="7" t="s">
        <v>201</v>
      </c>
      <c r="I159" s="7" t="s">
        <v>202</v>
      </c>
    </row>
    <row r="160" spans="1:11" s="7" customFormat="1" ht="12">
      <c r="H160" s="7" t="s">
        <v>203</v>
      </c>
    </row>
    <row r="161" spans="1:9" s="7" customFormat="1" ht="12">
      <c r="H161" s="7" t="s">
        <v>201</v>
      </c>
      <c r="I161" s="7" t="s">
        <v>204</v>
      </c>
    </row>
    <row r="162" spans="1:9" s="7" customFormat="1" ht="12">
      <c r="A162" s="7" t="s">
        <v>161</v>
      </c>
      <c r="C162" s="7" t="s">
        <v>205</v>
      </c>
      <c r="D162" s="7" t="s">
        <v>205</v>
      </c>
      <c r="E162" s="7" t="s">
        <v>192</v>
      </c>
      <c r="H162" s="7" t="s">
        <v>206</v>
      </c>
      <c r="I162" s="7" t="s">
        <v>207</v>
      </c>
    </row>
    <row r="163" spans="1:9" s="7" customFormat="1" ht="12">
      <c r="H163" s="7" t="s">
        <v>208</v>
      </c>
      <c r="I163" s="7" t="s">
        <v>123</v>
      </c>
    </row>
    <row r="164" spans="1:9" s="7" customFormat="1" ht="12">
      <c r="H164" s="7" t="s">
        <v>209</v>
      </c>
      <c r="I164" s="7" t="s">
        <v>125</v>
      </c>
    </row>
    <row r="165" spans="1:9" s="7" customFormat="1" ht="12">
      <c r="A165" s="7" t="s">
        <v>161</v>
      </c>
      <c r="C165" s="7" t="s">
        <v>210</v>
      </c>
      <c r="D165" s="7" t="s">
        <v>211</v>
      </c>
      <c r="E165" s="7" t="s">
        <v>192</v>
      </c>
      <c r="H165" s="7" t="s">
        <v>206</v>
      </c>
      <c r="I165" s="7" t="s">
        <v>207</v>
      </c>
    </row>
    <row r="166" spans="1:9" s="7" customFormat="1" ht="12">
      <c r="H166" s="7" t="s">
        <v>212</v>
      </c>
      <c r="I166" s="7" t="s">
        <v>213</v>
      </c>
    </row>
    <row r="167" spans="1:9" s="7" customFormat="1" ht="12">
      <c r="H167" s="7" t="s">
        <v>214</v>
      </c>
      <c r="I167" s="7" t="s">
        <v>215</v>
      </c>
    </row>
    <row r="168" spans="1:9" s="7" customFormat="1" ht="12">
      <c r="A168" s="7" t="s">
        <v>161</v>
      </c>
      <c r="C168" s="7" t="s">
        <v>216</v>
      </c>
      <c r="D168" s="7" t="s">
        <v>217</v>
      </c>
      <c r="E168" s="7" t="s">
        <v>218</v>
      </c>
      <c r="H168" s="7" t="s">
        <v>164</v>
      </c>
      <c r="I168" s="7" t="s">
        <v>219</v>
      </c>
    </row>
    <row r="169" spans="1:9" s="7" customFormat="1" ht="12">
      <c r="H169" s="7" t="s">
        <v>220</v>
      </c>
      <c r="I169" s="7" t="s">
        <v>221</v>
      </c>
    </row>
    <row r="170" spans="1:9" s="7" customFormat="1" ht="12">
      <c r="H170" s="7" t="s">
        <v>222</v>
      </c>
      <c r="I170" s="7" t="s">
        <v>223</v>
      </c>
    </row>
    <row r="171" spans="1:9" s="7" customFormat="1" ht="12">
      <c r="H171" s="7" t="s">
        <v>224</v>
      </c>
      <c r="I171" s="7" t="s">
        <v>225</v>
      </c>
    </row>
    <row r="172" spans="1:9" s="7" customFormat="1" ht="12">
      <c r="H172" s="7" t="s">
        <v>226</v>
      </c>
      <c r="I172" s="7" t="s">
        <v>227</v>
      </c>
    </row>
    <row r="173" spans="1:9" s="7" customFormat="1" ht="12">
      <c r="H173" s="7" t="s">
        <v>228</v>
      </c>
      <c r="I173" s="7" t="s">
        <v>229</v>
      </c>
    </row>
    <row r="174" spans="1:9" s="7" customFormat="1" ht="12">
      <c r="A174" s="7" t="s">
        <v>161</v>
      </c>
      <c r="C174" s="7" t="s">
        <v>230</v>
      </c>
      <c r="D174" s="7" t="s">
        <v>231</v>
      </c>
      <c r="E174" s="7" t="s">
        <v>232</v>
      </c>
      <c r="H174" s="7" t="s">
        <v>164</v>
      </c>
      <c r="I174" s="7" t="s">
        <v>219</v>
      </c>
    </row>
    <row r="175" spans="1:9" s="7" customFormat="1" ht="12">
      <c r="H175" s="7" t="s">
        <v>220</v>
      </c>
      <c r="I175" s="7" t="s">
        <v>221</v>
      </c>
    </row>
    <row r="176" spans="1:9" s="7" customFormat="1" ht="12">
      <c r="H176" s="7" t="s">
        <v>233</v>
      </c>
    </row>
    <row r="177" spans="1:9" s="7" customFormat="1" ht="12">
      <c r="H177" s="7" t="s">
        <v>234</v>
      </c>
      <c r="I177" s="7" t="s">
        <v>235</v>
      </c>
    </row>
    <row r="178" spans="1:9" s="7" customFormat="1" ht="12">
      <c r="H178" s="7" t="s">
        <v>236</v>
      </c>
      <c r="I178" s="7" t="s">
        <v>237</v>
      </c>
    </row>
    <row r="179" spans="1:9" s="7" customFormat="1" ht="12">
      <c r="H179" s="7" t="s">
        <v>238</v>
      </c>
      <c r="I179" s="7" t="s">
        <v>239</v>
      </c>
    </row>
    <row r="180" spans="1:9" s="7" customFormat="1" ht="12">
      <c r="H180" s="7" t="s">
        <v>240</v>
      </c>
      <c r="I180" s="7" t="s">
        <v>241</v>
      </c>
    </row>
    <row r="181" spans="1:9" s="7" customFormat="1" ht="12">
      <c r="A181" s="7" t="s">
        <v>161</v>
      </c>
      <c r="C181" s="7" t="s">
        <v>242</v>
      </c>
      <c r="D181" s="7" t="s">
        <v>231</v>
      </c>
      <c r="E181" s="7" t="s">
        <v>243</v>
      </c>
      <c r="H181" s="7" t="s">
        <v>164</v>
      </c>
      <c r="I181" s="7" t="s">
        <v>219</v>
      </c>
    </row>
    <row r="182" spans="1:9" s="7" customFormat="1" ht="12">
      <c r="H182" s="7" t="s">
        <v>244</v>
      </c>
      <c r="I182" s="7" t="s">
        <v>221</v>
      </c>
    </row>
    <row r="183" spans="1:9" s="7" customFormat="1" ht="12">
      <c r="H183" s="7" t="s">
        <v>245</v>
      </c>
    </row>
    <row r="184" spans="1:9" s="7" customFormat="1" ht="12">
      <c r="H184" s="7" t="s">
        <v>246</v>
      </c>
      <c r="I184" s="7" t="s">
        <v>235</v>
      </c>
    </row>
    <row r="185" spans="1:9" s="7" customFormat="1" ht="12">
      <c r="H185" s="7" t="s">
        <v>236</v>
      </c>
      <c r="I185" s="7" t="s">
        <v>247</v>
      </c>
    </row>
    <row r="186" spans="1:9" s="7" customFormat="1" ht="12">
      <c r="H186" s="7" t="s">
        <v>238</v>
      </c>
      <c r="I186" s="7" t="s">
        <v>248</v>
      </c>
    </row>
    <row r="187" spans="1:9" s="7" customFormat="1" ht="12">
      <c r="H187" s="7" t="s">
        <v>249</v>
      </c>
      <c r="I187" s="7" t="s">
        <v>241</v>
      </c>
    </row>
    <row r="188" spans="1:9" s="7" customFormat="1" ht="12">
      <c r="A188" s="7" t="s">
        <v>161</v>
      </c>
      <c r="C188" s="7" t="s">
        <v>250</v>
      </c>
      <c r="D188" s="7" t="s">
        <v>251</v>
      </c>
      <c r="E188" s="7" t="s">
        <v>252</v>
      </c>
      <c r="H188" s="7" t="s">
        <v>164</v>
      </c>
      <c r="I188" s="7" t="s">
        <v>219</v>
      </c>
    </row>
    <row r="189" spans="1:9" s="7" customFormat="1" ht="12">
      <c r="H189" s="7" t="s">
        <v>253</v>
      </c>
      <c r="I189" s="7" t="s">
        <v>254</v>
      </c>
    </row>
    <row r="190" spans="1:9" s="7" customFormat="1" ht="12">
      <c r="H190" s="7" t="s">
        <v>255</v>
      </c>
      <c r="I190" s="7" t="s">
        <v>256</v>
      </c>
    </row>
    <row r="191" spans="1:9" s="7" customFormat="1" ht="12">
      <c r="H191" s="7" t="s">
        <v>257</v>
      </c>
      <c r="I191" s="7" t="s">
        <v>227</v>
      </c>
    </row>
    <row r="192" spans="1:9" s="7" customFormat="1" ht="12">
      <c r="H192" s="7" t="s">
        <v>258</v>
      </c>
      <c r="I192" s="7" t="s">
        <v>259</v>
      </c>
    </row>
    <row r="193" spans="1:11" s="7" customFormat="1" ht="12">
      <c r="A193" s="7" t="s">
        <v>161</v>
      </c>
      <c r="C193" s="7" t="s">
        <v>260</v>
      </c>
      <c r="D193" s="7" t="s">
        <v>261</v>
      </c>
      <c r="E193" s="7" t="s">
        <v>262</v>
      </c>
      <c r="H193" s="7" t="s">
        <v>164</v>
      </c>
      <c r="I193" s="7" t="s">
        <v>219</v>
      </c>
    </row>
    <row r="194" spans="1:11" s="7" customFormat="1" ht="12">
      <c r="H194" s="7" t="s">
        <v>263</v>
      </c>
    </row>
    <row r="195" spans="1:11" s="7" customFormat="1" ht="12">
      <c r="H195" s="7" t="s">
        <v>264</v>
      </c>
      <c r="I195" s="7" t="s">
        <v>265</v>
      </c>
    </row>
    <row r="196" spans="1:11" s="7" customFormat="1" ht="12">
      <c r="A196" s="7" t="s">
        <v>161</v>
      </c>
      <c r="C196" s="7" t="s">
        <v>266</v>
      </c>
      <c r="D196" s="7" t="s">
        <v>267</v>
      </c>
      <c r="E196" s="7" t="s">
        <v>268</v>
      </c>
      <c r="H196" s="7" t="s">
        <v>164</v>
      </c>
      <c r="I196" s="7" t="s">
        <v>165</v>
      </c>
    </row>
    <row r="197" spans="1:11" s="7" customFormat="1" ht="12">
      <c r="H197" s="7" t="s">
        <v>269</v>
      </c>
      <c r="I197" s="7" t="s">
        <v>270</v>
      </c>
    </row>
    <row r="198" spans="1:11" s="7" customFormat="1" ht="12">
      <c r="A198" s="7" t="s">
        <v>161</v>
      </c>
      <c r="C198" s="7" t="s">
        <v>271</v>
      </c>
      <c r="D198" s="7" t="s">
        <v>272</v>
      </c>
      <c r="E198" s="7" t="s">
        <v>273</v>
      </c>
      <c r="H198" s="7" t="s">
        <v>164</v>
      </c>
      <c r="I198" s="7" t="s">
        <v>219</v>
      </c>
      <c r="K198" s="7" t="s">
        <v>274</v>
      </c>
    </row>
    <row r="199" spans="1:11" s="7" customFormat="1" ht="12">
      <c r="H199" s="7" t="s">
        <v>269</v>
      </c>
      <c r="I199" s="7" t="s">
        <v>275</v>
      </c>
    </row>
    <row r="200" spans="1:11" s="7" customFormat="1" ht="12">
      <c r="A200" s="7" t="s">
        <v>161</v>
      </c>
      <c r="C200" s="7" t="s">
        <v>276</v>
      </c>
      <c r="D200" s="7" t="s">
        <v>276</v>
      </c>
      <c r="H200" s="7" t="s">
        <v>277</v>
      </c>
      <c r="I200" s="7" t="s">
        <v>278</v>
      </c>
    </row>
    <row r="201" spans="1:11" s="7" customFormat="1" ht="12">
      <c r="H201" s="7" t="s">
        <v>279</v>
      </c>
      <c r="I201" s="7" t="s">
        <v>123</v>
      </c>
    </row>
    <row r="202" spans="1:11" s="7" customFormat="1" ht="12">
      <c r="H202" s="7" t="s">
        <v>209</v>
      </c>
      <c r="I202" s="7" t="s">
        <v>125</v>
      </c>
    </row>
    <row r="203" spans="1:11" s="7" customFormat="1" ht="12">
      <c r="A203" s="7" t="s">
        <v>161</v>
      </c>
      <c r="C203" s="7" t="s">
        <v>280</v>
      </c>
      <c r="D203" s="7" t="s">
        <v>280</v>
      </c>
      <c r="H203" s="7" t="s">
        <v>277</v>
      </c>
      <c r="I203" s="7" t="s">
        <v>275</v>
      </c>
      <c r="K203" s="7" t="s">
        <v>274</v>
      </c>
    </row>
    <row r="204" spans="1:11" s="7" customFormat="1" ht="12">
      <c r="H204" s="7" t="s">
        <v>281</v>
      </c>
    </row>
    <row r="205" spans="1:11" s="7" customFormat="1" ht="12">
      <c r="H205" s="7" t="s">
        <v>282</v>
      </c>
      <c r="I205" s="7" t="s">
        <v>283</v>
      </c>
    </row>
    <row r="206" spans="1:11" s="7" customFormat="1" ht="12">
      <c r="H206" s="7" t="s">
        <v>284</v>
      </c>
      <c r="I206" s="7" t="s">
        <v>259</v>
      </c>
    </row>
    <row r="207" spans="1:11" s="7" customFormat="1" ht="12">
      <c r="A207" s="7" t="s">
        <v>161</v>
      </c>
      <c r="C207" s="7" t="s">
        <v>285</v>
      </c>
      <c r="D207" s="7" t="s">
        <v>286</v>
      </c>
      <c r="E207" s="7" t="s">
        <v>287</v>
      </c>
      <c r="H207" s="7" t="s">
        <v>164</v>
      </c>
      <c r="I207" s="7" t="s">
        <v>219</v>
      </c>
    </row>
    <row r="208" spans="1:11" s="7" customFormat="1" ht="12">
      <c r="H208" s="7" t="s">
        <v>288</v>
      </c>
      <c r="I208" s="7" t="s">
        <v>289</v>
      </c>
    </row>
    <row r="209" spans="1:9" s="7" customFormat="1" ht="12">
      <c r="H209" s="7" t="s">
        <v>290</v>
      </c>
      <c r="I209" s="7" t="s">
        <v>291</v>
      </c>
    </row>
    <row r="210" spans="1:9" s="7" customFormat="1" ht="12">
      <c r="H210" s="7" t="s">
        <v>292</v>
      </c>
      <c r="I210" s="7" t="s">
        <v>293</v>
      </c>
    </row>
    <row r="211" spans="1:9" s="7" customFormat="1" ht="12">
      <c r="H211" s="7" t="s">
        <v>284</v>
      </c>
      <c r="I211" s="7" t="s">
        <v>259</v>
      </c>
    </row>
    <row r="212" spans="1:9" s="7" customFormat="1" ht="12">
      <c r="H212" s="7" t="s">
        <v>294</v>
      </c>
      <c r="I212" s="7" t="s">
        <v>295</v>
      </c>
    </row>
    <row r="213" spans="1:9" s="7" customFormat="1" ht="12">
      <c r="A213" s="7" t="s">
        <v>161</v>
      </c>
      <c r="C213" s="7" t="s">
        <v>296</v>
      </c>
      <c r="D213" s="7" t="s">
        <v>296</v>
      </c>
      <c r="E213" s="7" t="s">
        <v>287</v>
      </c>
      <c r="H213" s="7" t="s">
        <v>164</v>
      </c>
      <c r="I213" s="7" t="s">
        <v>219</v>
      </c>
    </row>
    <row r="214" spans="1:9" s="7" customFormat="1" ht="12">
      <c r="H214" s="7" t="s">
        <v>297</v>
      </c>
      <c r="I214" s="7" t="s">
        <v>298</v>
      </c>
    </row>
    <row r="215" spans="1:9" s="7" customFormat="1" ht="12">
      <c r="H215" s="7" t="s">
        <v>299</v>
      </c>
      <c r="I215" s="7" t="s">
        <v>300</v>
      </c>
    </row>
    <row r="216" spans="1:9" s="7" customFormat="1" ht="12">
      <c r="H216" s="7" t="s">
        <v>292</v>
      </c>
      <c r="I216" s="7" t="s">
        <v>301</v>
      </c>
    </row>
    <row r="217" spans="1:9" s="7" customFormat="1" ht="12">
      <c r="H217" s="7" t="s">
        <v>284</v>
      </c>
      <c r="I217" s="7" t="s">
        <v>259</v>
      </c>
    </row>
    <row r="218" spans="1:9" s="7" customFormat="1" ht="12">
      <c r="H218" s="7" t="s">
        <v>302</v>
      </c>
      <c r="I218" s="7" t="s">
        <v>295</v>
      </c>
    </row>
    <row r="219" spans="1:9" s="7" customFormat="1" ht="12">
      <c r="A219" s="7" t="s">
        <v>161</v>
      </c>
      <c r="C219" s="7" t="s">
        <v>303</v>
      </c>
      <c r="D219" s="7" t="s">
        <v>303</v>
      </c>
      <c r="E219" s="7" t="s">
        <v>304</v>
      </c>
      <c r="H219" s="7" t="s">
        <v>164</v>
      </c>
      <c r="I219" s="7" t="s">
        <v>219</v>
      </c>
    </row>
    <row r="220" spans="1:9" s="7" customFormat="1" ht="12">
      <c r="H220" s="7" t="s">
        <v>305</v>
      </c>
      <c r="I220" s="7" t="s">
        <v>298</v>
      </c>
    </row>
    <row r="221" spans="1:9" s="7" customFormat="1" ht="12">
      <c r="H221" s="7" t="s">
        <v>306</v>
      </c>
      <c r="I221" s="7" t="s">
        <v>307</v>
      </c>
    </row>
    <row r="222" spans="1:9" s="7" customFormat="1" ht="12">
      <c r="H222" s="7" t="s">
        <v>308</v>
      </c>
      <c r="I222" s="7" t="s">
        <v>301</v>
      </c>
    </row>
    <row r="223" spans="1:9" s="7" customFormat="1" ht="12">
      <c r="H223" s="7" t="s">
        <v>292</v>
      </c>
      <c r="I223" s="7" t="s">
        <v>300</v>
      </c>
    </row>
    <row r="224" spans="1:9" s="7" customFormat="1" ht="12">
      <c r="H224" s="7" t="s">
        <v>284</v>
      </c>
      <c r="I224" s="7" t="s">
        <v>259</v>
      </c>
    </row>
    <row r="225" spans="1:9" s="7" customFormat="1" ht="12">
      <c r="H225" s="7" t="s">
        <v>302</v>
      </c>
      <c r="I225" s="7" t="s">
        <v>309</v>
      </c>
    </row>
    <row r="226" spans="1:9" s="7" customFormat="1" ht="12">
      <c r="A226" s="7" t="s">
        <v>161</v>
      </c>
      <c r="C226" s="7" t="s">
        <v>310</v>
      </c>
      <c r="D226" s="7" t="s">
        <v>310</v>
      </c>
      <c r="E226" s="7" t="s">
        <v>304</v>
      </c>
      <c r="H226" s="7" t="s">
        <v>164</v>
      </c>
      <c r="I226" s="7" t="s">
        <v>219</v>
      </c>
    </row>
    <row r="227" spans="1:9" s="7" customFormat="1" ht="12">
      <c r="H227" s="7" t="s">
        <v>305</v>
      </c>
      <c r="I227" s="7" t="s">
        <v>298</v>
      </c>
    </row>
    <row r="228" spans="1:9" s="7" customFormat="1" ht="12">
      <c r="H228" s="7" t="s">
        <v>311</v>
      </c>
      <c r="I228" s="7" t="s">
        <v>312</v>
      </c>
    </row>
    <row r="229" spans="1:9" s="7" customFormat="1" ht="12">
      <c r="H229" s="7" t="s">
        <v>313</v>
      </c>
      <c r="I229" s="7" t="s">
        <v>314</v>
      </c>
    </row>
    <row r="230" spans="1:9" s="7" customFormat="1" ht="12">
      <c r="H230" s="7" t="s">
        <v>292</v>
      </c>
      <c r="I230" s="7" t="s">
        <v>315</v>
      </c>
    </row>
    <row r="231" spans="1:9" s="7" customFormat="1" ht="12">
      <c r="H231" s="7" t="s">
        <v>284</v>
      </c>
      <c r="I231" s="7" t="s">
        <v>259</v>
      </c>
    </row>
    <row r="232" spans="1:9" s="7" customFormat="1" ht="12">
      <c r="H232" s="7" t="s">
        <v>316</v>
      </c>
      <c r="I232" s="7" t="s">
        <v>309</v>
      </c>
    </row>
    <row r="233" spans="1:9" s="7" customFormat="1" ht="12">
      <c r="A233" s="7" t="s">
        <v>161</v>
      </c>
      <c r="C233" s="7" t="s">
        <v>216</v>
      </c>
      <c r="D233" s="7" t="s">
        <v>217</v>
      </c>
      <c r="E233" s="7" t="s">
        <v>218</v>
      </c>
      <c r="H233" s="7" t="s">
        <v>164</v>
      </c>
      <c r="I233" s="7" t="s">
        <v>219</v>
      </c>
    </row>
    <row r="234" spans="1:9" s="7" customFormat="1" ht="12">
      <c r="H234" s="7" t="s">
        <v>220</v>
      </c>
      <c r="I234" s="7" t="s">
        <v>221</v>
      </c>
    </row>
    <row r="235" spans="1:9" s="7" customFormat="1" ht="12">
      <c r="H235" s="7" t="s">
        <v>317</v>
      </c>
      <c r="I235" s="7" t="s">
        <v>223</v>
      </c>
    </row>
    <row r="236" spans="1:9" s="7" customFormat="1" ht="12">
      <c r="H236" s="7" t="s">
        <v>224</v>
      </c>
      <c r="I236" s="7" t="s">
        <v>225</v>
      </c>
    </row>
    <row r="237" spans="1:9" s="7" customFormat="1" ht="12">
      <c r="H237" s="7" t="s">
        <v>226</v>
      </c>
      <c r="I237" s="7" t="s">
        <v>227</v>
      </c>
    </row>
    <row r="238" spans="1:9" s="7" customFormat="1" ht="12">
      <c r="H238" s="7" t="s">
        <v>228</v>
      </c>
      <c r="I238" s="7" t="s">
        <v>229</v>
      </c>
    </row>
    <row r="239" spans="1:9" s="7" customFormat="1" ht="12">
      <c r="A239" s="7" t="s">
        <v>161</v>
      </c>
      <c r="C239" s="7" t="s">
        <v>230</v>
      </c>
      <c r="D239" s="7" t="s">
        <v>231</v>
      </c>
      <c r="E239" s="7" t="s">
        <v>318</v>
      </c>
      <c r="H239" s="7" t="s">
        <v>164</v>
      </c>
      <c r="I239" s="7" t="s">
        <v>219</v>
      </c>
    </row>
    <row r="240" spans="1:9" s="7" customFormat="1" ht="12">
      <c r="H240" s="7" t="s">
        <v>220</v>
      </c>
      <c r="I240" s="7" t="s">
        <v>221</v>
      </c>
    </row>
    <row r="241" spans="1:9" s="7" customFormat="1" ht="12">
      <c r="H241" s="7" t="s">
        <v>233</v>
      </c>
    </row>
    <row r="242" spans="1:9" s="7" customFormat="1" ht="12">
      <c r="H242" s="7" t="s">
        <v>319</v>
      </c>
      <c r="I242" s="7" t="s">
        <v>235</v>
      </c>
    </row>
    <row r="243" spans="1:9" s="7" customFormat="1" ht="12">
      <c r="H243" s="7" t="s">
        <v>236</v>
      </c>
      <c r="I243" s="7" t="s">
        <v>237</v>
      </c>
    </row>
    <row r="244" spans="1:9" s="7" customFormat="1" ht="12">
      <c r="H244" s="7" t="s">
        <v>238</v>
      </c>
      <c r="I244" s="7" t="s">
        <v>320</v>
      </c>
    </row>
    <row r="245" spans="1:9" s="7" customFormat="1" ht="12">
      <c r="H245" s="7" t="s">
        <v>240</v>
      </c>
      <c r="I245" s="7" t="s">
        <v>241</v>
      </c>
    </row>
    <row r="246" spans="1:9" s="7" customFormat="1" ht="12">
      <c r="A246" s="7" t="s">
        <v>161</v>
      </c>
      <c r="C246" s="7" t="s">
        <v>242</v>
      </c>
      <c r="D246" s="7" t="s">
        <v>231</v>
      </c>
      <c r="E246" s="7" t="s">
        <v>321</v>
      </c>
      <c r="H246" s="7" t="s">
        <v>164</v>
      </c>
      <c r="I246" s="7" t="s">
        <v>219</v>
      </c>
    </row>
    <row r="247" spans="1:9" s="7" customFormat="1" ht="12">
      <c r="H247" s="7" t="s">
        <v>244</v>
      </c>
      <c r="I247" s="7" t="s">
        <v>221</v>
      </c>
    </row>
    <row r="248" spans="1:9" s="7" customFormat="1" ht="12">
      <c r="H248" s="7" t="s">
        <v>245</v>
      </c>
    </row>
    <row r="249" spans="1:9" s="7" customFormat="1" ht="12">
      <c r="H249" s="7" t="s">
        <v>322</v>
      </c>
      <c r="I249" s="7" t="s">
        <v>235</v>
      </c>
    </row>
    <row r="250" spans="1:9" s="7" customFormat="1" ht="12">
      <c r="H250" s="7" t="s">
        <v>236</v>
      </c>
      <c r="I250" s="7" t="s">
        <v>247</v>
      </c>
    </row>
    <row r="251" spans="1:9" s="7" customFormat="1" ht="12">
      <c r="H251" s="7" t="s">
        <v>238</v>
      </c>
      <c r="I251" s="7" t="s">
        <v>248</v>
      </c>
    </row>
    <row r="252" spans="1:9" s="7" customFormat="1" ht="12">
      <c r="H252" s="7" t="s">
        <v>249</v>
      </c>
      <c r="I252" s="7" t="s">
        <v>241</v>
      </c>
    </row>
    <row r="253" spans="1:9" s="7" customFormat="1" ht="12">
      <c r="A253" s="7" t="s">
        <v>161</v>
      </c>
      <c r="C253" s="7" t="s">
        <v>323</v>
      </c>
      <c r="D253" s="7" t="s">
        <v>251</v>
      </c>
      <c r="E253" s="7" t="s">
        <v>252</v>
      </c>
      <c r="H253" s="7" t="s">
        <v>164</v>
      </c>
      <c r="I253" s="7" t="s">
        <v>219</v>
      </c>
    </row>
    <row r="254" spans="1:9" s="7" customFormat="1" ht="12">
      <c r="H254" s="7" t="s">
        <v>324</v>
      </c>
      <c r="I254" s="7" t="s">
        <v>254</v>
      </c>
    </row>
    <row r="255" spans="1:9" s="7" customFormat="1" ht="12">
      <c r="H255" s="7" t="s">
        <v>255</v>
      </c>
      <c r="I255" s="7" t="s">
        <v>256</v>
      </c>
    </row>
    <row r="256" spans="1:9" s="7" customFormat="1" ht="12">
      <c r="H256" s="7" t="s">
        <v>325</v>
      </c>
      <c r="I256" s="7" t="s">
        <v>227</v>
      </c>
    </row>
    <row r="257" spans="1:11" s="7" customFormat="1" ht="12">
      <c r="H257" s="7" t="s">
        <v>258</v>
      </c>
      <c r="I257" s="7" t="s">
        <v>259</v>
      </c>
    </row>
    <row r="258" spans="1:11" s="7" customFormat="1" ht="12">
      <c r="A258" s="7" t="s">
        <v>161</v>
      </c>
      <c r="C258" s="7" t="s">
        <v>326</v>
      </c>
      <c r="D258" s="7" t="s">
        <v>261</v>
      </c>
      <c r="E258" s="7" t="s">
        <v>304</v>
      </c>
      <c r="H258" s="7" t="s">
        <v>164</v>
      </c>
      <c r="I258" s="7" t="s">
        <v>219</v>
      </c>
    </row>
    <row r="259" spans="1:11" s="7" customFormat="1" ht="12">
      <c r="H259" s="7" t="s">
        <v>327</v>
      </c>
    </row>
    <row r="260" spans="1:11" s="7" customFormat="1" ht="12">
      <c r="H260" s="7" t="s">
        <v>264</v>
      </c>
      <c r="I260" s="7" t="s">
        <v>265</v>
      </c>
    </row>
    <row r="261" spans="1:11" s="7" customFormat="1" ht="12">
      <c r="A261" s="7" t="s">
        <v>161</v>
      </c>
      <c r="C261" s="7" t="s">
        <v>328</v>
      </c>
      <c r="D261" s="7" t="s">
        <v>329</v>
      </c>
      <c r="E261" s="7" t="s">
        <v>330</v>
      </c>
      <c r="H261" s="7" t="s">
        <v>164</v>
      </c>
      <c r="I261" s="7" t="s">
        <v>219</v>
      </c>
      <c r="K261" s="7" t="s">
        <v>331</v>
      </c>
    </row>
    <row r="262" spans="1:11" s="7" customFormat="1" ht="12">
      <c r="H262" s="7" t="s">
        <v>332</v>
      </c>
      <c r="I262" s="7" t="s">
        <v>333</v>
      </c>
    </row>
    <row r="263" spans="1:11" s="7" customFormat="1" ht="12">
      <c r="H263" s="7" t="s">
        <v>334</v>
      </c>
    </row>
    <row r="264" spans="1:11" s="7" customFormat="1" ht="12">
      <c r="H264" s="7" t="s">
        <v>335</v>
      </c>
      <c r="I264" s="7" t="s">
        <v>283</v>
      </c>
    </row>
    <row r="265" spans="1:11" s="7" customFormat="1" ht="12">
      <c r="H265" s="7" t="s">
        <v>336</v>
      </c>
      <c r="I265" s="7" t="s">
        <v>259</v>
      </c>
    </row>
    <row r="266" spans="1:11" s="7" customFormat="1" ht="12">
      <c r="A266" s="7" t="s">
        <v>161</v>
      </c>
      <c r="C266" s="7" t="s">
        <v>337</v>
      </c>
      <c r="D266" s="7" t="s">
        <v>338</v>
      </c>
      <c r="E266" s="7" t="s">
        <v>339</v>
      </c>
      <c r="H266" s="7" t="s">
        <v>164</v>
      </c>
      <c r="I266" s="7" t="s">
        <v>219</v>
      </c>
    </row>
    <row r="267" spans="1:11" s="7" customFormat="1" ht="12">
      <c r="H267" s="7" t="s">
        <v>332</v>
      </c>
      <c r="I267" s="7" t="s">
        <v>333</v>
      </c>
    </row>
    <row r="268" spans="1:11" s="7" customFormat="1" ht="12">
      <c r="H268" s="7" t="s">
        <v>340</v>
      </c>
    </row>
    <row r="269" spans="1:11" s="7" customFormat="1" ht="12">
      <c r="H269" s="7" t="s">
        <v>341</v>
      </c>
      <c r="I269" s="7" t="s">
        <v>283</v>
      </c>
    </row>
    <row r="270" spans="1:11" s="7" customFormat="1" ht="12">
      <c r="H270" s="7" t="s">
        <v>336</v>
      </c>
      <c r="I270" s="7" t="s">
        <v>259</v>
      </c>
    </row>
    <row r="271" spans="1:11" s="7" customFormat="1" ht="12">
      <c r="A271" s="7" t="s">
        <v>161</v>
      </c>
      <c r="C271" s="7" t="s">
        <v>342</v>
      </c>
      <c r="D271" s="7" t="s">
        <v>261</v>
      </c>
      <c r="E271" s="7" t="s">
        <v>330</v>
      </c>
      <c r="H271" s="7" t="s">
        <v>164</v>
      </c>
      <c r="I271" s="7" t="s">
        <v>219</v>
      </c>
    </row>
    <row r="272" spans="1:11" s="7" customFormat="1" ht="12">
      <c r="H272" s="7" t="s">
        <v>332</v>
      </c>
      <c r="I272" s="7" t="s">
        <v>343</v>
      </c>
    </row>
    <row r="273" spans="1:9" s="7" customFormat="1" ht="12">
      <c r="H273" s="7" t="s">
        <v>344</v>
      </c>
    </row>
    <row r="274" spans="1:9" s="7" customFormat="1" ht="12">
      <c r="H274" s="7" t="s">
        <v>167</v>
      </c>
      <c r="I274" s="7" t="s">
        <v>265</v>
      </c>
    </row>
    <row r="275" spans="1:9" s="7" customFormat="1" ht="12">
      <c r="A275" s="7" t="s">
        <v>161</v>
      </c>
      <c r="C275" s="7" t="s">
        <v>216</v>
      </c>
      <c r="D275" s="7" t="s">
        <v>217</v>
      </c>
      <c r="E275" s="7" t="s">
        <v>218</v>
      </c>
      <c r="H275" s="7" t="s">
        <v>164</v>
      </c>
      <c r="I275" s="7" t="s">
        <v>219</v>
      </c>
    </row>
    <row r="276" spans="1:9" s="7" customFormat="1" ht="12">
      <c r="H276" s="7" t="s">
        <v>220</v>
      </c>
      <c r="I276" s="7" t="s">
        <v>221</v>
      </c>
    </row>
    <row r="277" spans="1:9" s="7" customFormat="1" ht="12">
      <c r="H277" s="7" t="s">
        <v>345</v>
      </c>
      <c r="I277" s="7" t="s">
        <v>223</v>
      </c>
    </row>
    <row r="278" spans="1:9" s="7" customFormat="1" ht="12">
      <c r="H278" s="7" t="s">
        <v>224</v>
      </c>
      <c r="I278" s="7" t="s">
        <v>225</v>
      </c>
    </row>
    <row r="279" spans="1:9" s="7" customFormat="1" ht="12">
      <c r="H279" s="7" t="s">
        <v>226</v>
      </c>
      <c r="I279" s="7" t="s">
        <v>227</v>
      </c>
    </row>
    <row r="280" spans="1:9" s="7" customFormat="1" ht="12">
      <c r="H280" s="7" t="s">
        <v>228</v>
      </c>
      <c r="I280" s="7" t="s">
        <v>229</v>
      </c>
    </row>
    <row r="281" spans="1:9" s="7" customFormat="1" ht="12">
      <c r="A281" s="7" t="s">
        <v>161</v>
      </c>
      <c r="C281" s="7" t="s">
        <v>230</v>
      </c>
      <c r="D281" s="7" t="s">
        <v>231</v>
      </c>
      <c r="E281" s="7" t="s">
        <v>346</v>
      </c>
      <c r="H281" s="7" t="s">
        <v>164</v>
      </c>
      <c r="I281" s="7" t="s">
        <v>219</v>
      </c>
    </row>
    <row r="282" spans="1:9" s="7" customFormat="1" ht="12">
      <c r="H282" s="7" t="s">
        <v>220</v>
      </c>
      <c r="I282" s="7" t="s">
        <v>221</v>
      </c>
    </row>
    <row r="283" spans="1:9" s="7" customFormat="1" ht="12">
      <c r="H283" s="7" t="s">
        <v>233</v>
      </c>
    </row>
    <row r="284" spans="1:9" s="7" customFormat="1" ht="12">
      <c r="H284" s="7" t="s">
        <v>347</v>
      </c>
      <c r="I284" s="7" t="s">
        <v>235</v>
      </c>
    </row>
    <row r="285" spans="1:9" s="7" customFormat="1" ht="12">
      <c r="H285" s="7" t="s">
        <v>236</v>
      </c>
      <c r="I285" s="7" t="s">
        <v>237</v>
      </c>
    </row>
    <row r="286" spans="1:9" s="7" customFormat="1" ht="12">
      <c r="H286" s="7" t="s">
        <v>238</v>
      </c>
      <c r="I286" s="7" t="s">
        <v>320</v>
      </c>
    </row>
    <row r="287" spans="1:9" s="7" customFormat="1" ht="12">
      <c r="H287" s="7" t="s">
        <v>240</v>
      </c>
      <c r="I287" s="7" t="s">
        <v>241</v>
      </c>
    </row>
    <row r="288" spans="1:9" s="7" customFormat="1" ht="12">
      <c r="A288" s="7" t="s">
        <v>161</v>
      </c>
      <c r="C288" s="7" t="s">
        <v>242</v>
      </c>
      <c r="D288" s="7" t="s">
        <v>231</v>
      </c>
      <c r="E288" s="7" t="s">
        <v>348</v>
      </c>
      <c r="H288" s="7" t="s">
        <v>164</v>
      </c>
      <c r="I288" s="7" t="s">
        <v>219</v>
      </c>
    </row>
    <row r="289" spans="1:9" s="7" customFormat="1" ht="12">
      <c r="H289" s="7" t="s">
        <v>244</v>
      </c>
      <c r="I289" s="7" t="s">
        <v>221</v>
      </c>
    </row>
    <row r="290" spans="1:9" s="7" customFormat="1" ht="12">
      <c r="H290" s="7" t="s">
        <v>245</v>
      </c>
    </row>
    <row r="291" spans="1:9" s="7" customFormat="1" ht="12">
      <c r="H291" s="7" t="s">
        <v>349</v>
      </c>
      <c r="I291" s="7" t="s">
        <v>235</v>
      </c>
    </row>
    <row r="292" spans="1:9" s="7" customFormat="1" ht="12">
      <c r="H292" s="7" t="s">
        <v>236</v>
      </c>
      <c r="I292" s="7" t="s">
        <v>247</v>
      </c>
    </row>
    <row r="293" spans="1:9" s="7" customFormat="1" ht="12">
      <c r="H293" s="7" t="s">
        <v>238</v>
      </c>
      <c r="I293" s="7" t="s">
        <v>248</v>
      </c>
    </row>
    <row r="294" spans="1:9" s="7" customFormat="1" ht="12">
      <c r="H294" s="7" t="s">
        <v>249</v>
      </c>
      <c r="I294" s="7" t="s">
        <v>241</v>
      </c>
    </row>
    <row r="295" spans="1:9" s="7" customFormat="1" ht="12">
      <c r="A295" s="7" t="s">
        <v>161</v>
      </c>
      <c r="C295" s="7" t="s">
        <v>250</v>
      </c>
      <c r="D295" s="7" t="s">
        <v>251</v>
      </c>
      <c r="E295" s="7" t="s">
        <v>252</v>
      </c>
      <c r="H295" s="7" t="s">
        <v>164</v>
      </c>
      <c r="I295" s="7" t="s">
        <v>219</v>
      </c>
    </row>
    <row r="296" spans="1:9" s="7" customFormat="1" ht="12">
      <c r="H296" s="7" t="s">
        <v>350</v>
      </c>
      <c r="I296" s="7" t="s">
        <v>254</v>
      </c>
    </row>
    <row r="297" spans="1:9" s="7" customFormat="1" ht="12">
      <c r="H297" s="7" t="s">
        <v>255</v>
      </c>
      <c r="I297" s="7" t="s">
        <v>256</v>
      </c>
    </row>
    <row r="298" spans="1:9" s="7" customFormat="1" ht="12">
      <c r="H298" s="7" t="s">
        <v>351</v>
      </c>
      <c r="I298" s="7" t="s">
        <v>227</v>
      </c>
    </row>
    <row r="299" spans="1:9" s="7" customFormat="1" ht="12">
      <c r="H299" s="7" t="s">
        <v>258</v>
      </c>
      <c r="I299" s="7" t="s">
        <v>259</v>
      </c>
    </row>
    <row r="300" spans="1:9" s="7" customFormat="1" ht="12">
      <c r="A300" s="7" t="s">
        <v>161</v>
      </c>
      <c r="C300" s="7" t="s">
        <v>352</v>
      </c>
      <c r="D300" s="7" t="s">
        <v>353</v>
      </c>
      <c r="E300" s="7" t="s">
        <v>354</v>
      </c>
      <c r="H300" s="7" t="s">
        <v>164</v>
      </c>
      <c r="I300" s="7" t="s">
        <v>219</v>
      </c>
    </row>
    <row r="301" spans="1:9" s="7" customFormat="1" ht="12">
      <c r="H301" s="7" t="s">
        <v>244</v>
      </c>
      <c r="I301" s="7" t="s">
        <v>221</v>
      </c>
    </row>
    <row r="302" spans="1:9" s="7" customFormat="1" ht="12">
      <c r="H302" s="7" t="s">
        <v>355</v>
      </c>
      <c r="I302" s="7" t="s">
        <v>356</v>
      </c>
    </row>
    <row r="303" spans="1:9" s="7" customFormat="1" ht="12">
      <c r="H303" s="7" t="s">
        <v>357</v>
      </c>
      <c r="I303" s="7" t="s">
        <v>241</v>
      </c>
    </row>
  </sheetData>
  <mergeCells count="2">
    <mergeCell ref="C1:K1"/>
    <mergeCell ref="A1:B1"/>
  </mergeCells>
  <pageMargins left="0.7" right="0.7" top="0.75" bottom="0.75" header="0.3" footer="0.3"/>
  <pageSetup paperSize="9" orientation="portrai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Requirements</vt:lpstr>
      <vt:lpstr>TestCases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sridarr</dc:creator>
  <cp:lastModifiedBy>Admin Admin</cp:lastModifiedBy>
  <dcterms:created xsi:type="dcterms:W3CDTF">2012-12-13T01:58:46Z</dcterms:created>
  <dcterms:modified xsi:type="dcterms:W3CDTF">2018-04-10T07:29:00Z</dcterms:modified>
</cp:coreProperties>
</file>